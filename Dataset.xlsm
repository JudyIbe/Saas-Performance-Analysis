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Personal Projects\PBI PRoject\ScaleFlow\"/>
    </mc:Choice>
  </mc:AlternateContent>
  <xr:revisionPtr revIDLastSave="0" documentId="13_ncr:1_{6590CDD7-5CB9-450C-BCE9-D25DD1468AF0}" xr6:coauthVersionLast="47" xr6:coauthVersionMax="47" xr10:uidLastSave="{00000000-0000-0000-0000-000000000000}"/>
  <bookViews>
    <workbookView xWindow="-108" yWindow="-108" windowWidth="23256" windowHeight="12576" activeTab="1" xr2:uid="{090FA167-0B37-443C-8A6E-344C76BAA7D6}"/>
  </bookViews>
  <sheets>
    <sheet name="Main" sheetId="1" r:id="rId1"/>
    <sheet name="Cleaned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</calcChain>
</file>

<file path=xl/sharedStrings.xml><?xml version="1.0" encoding="utf-8"?>
<sst xmlns="http://schemas.openxmlformats.org/spreadsheetml/2006/main" count="6749" uniqueCount="463">
  <si>
    <t>Customer_ID</t>
  </si>
  <si>
    <t>Signup_Date</t>
  </si>
  <si>
    <t>Customer_Segment</t>
  </si>
  <si>
    <t>Industry</t>
  </si>
  <si>
    <t>Subscription_Plan</t>
  </si>
  <si>
    <t>Monthly_Revenue</t>
  </si>
  <si>
    <t>Customer_Region</t>
  </si>
  <si>
    <t>Acquisition_Channel</t>
  </si>
  <si>
    <t>Support_Tickets_Opened</t>
  </si>
  <si>
    <t>Is_Active</t>
  </si>
  <si>
    <t>Has_Churned</t>
  </si>
  <si>
    <t>CUST00001</t>
  </si>
  <si>
    <t>Enterprise</t>
  </si>
  <si>
    <t>Education</t>
  </si>
  <si>
    <t>Free</t>
  </si>
  <si>
    <t>Port Harcourt</t>
  </si>
  <si>
    <t>Referral</t>
  </si>
  <si>
    <t>No</t>
  </si>
  <si>
    <t>Yes</t>
  </si>
  <si>
    <t>CUST00002</t>
  </si>
  <si>
    <t>Individual</t>
  </si>
  <si>
    <t>Healthcare</t>
  </si>
  <si>
    <t>Ibadan</t>
  </si>
  <si>
    <t>CUST00003</t>
  </si>
  <si>
    <t>SME</t>
  </si>
  <si>
    <t>Logistics</t>
  </si>
  <si>
    <t>Lagos</t>
  </si>
  <si>
    <t>Sales Outreach</t>
  </si>
  <si>
    <t>CUST00004</t>
  </si>
  <si>
    <t>Basic</t>
  </si>
  <si>
    <t>Remote</t>
  </si>
  <si>
    <t>Social Media</t>
  </si>
  <si>
    <t>CUST00005</t>
  </si>
  <si>
    <t>Finance</t>
  </si>
  <si>
    <t>Abuja</t>
  </si>
  <si>
    <t>CUST00006</t>
  </si>
  <si>
    <t>Paid Ads</t>
  </si>
  <si>
    <t>CUST00007</t>
  </si>
  <si>
    <t>CUST00008</t>
  </si>
  <si>
    <t>Retail</t>
  </si>
  <si>
    <t>CUST00009</t>
  </si>
  <si>
    <t>Tech</t>
  </si>
  <si>
    <t>Organic Search</t>
  </si>
  <si>
    <t>CUST00010</t>
  </si>
  <si>
    <t>CUST00011</t>
  </si>
  <si>
    <t>CUST00012</t>
  </si>
  <si>
    <t>Pro</t>
  </si>
  <si>
    <t>CUST00013</t>
  </si>
  <si>
    <t>CUST00014</t>
  </si>
  <si>
    <t>Enugu</t>
  </si>
  <si>
    <t>CUST00015</t>
  </si>
  <si>
    <t>CUST00016</t>
  </si>
  <si>
    <t>CUST00017</t>
  </si>
  <si>
    <t>CUST00018</t>
  </si>
  <si>
    <t>CUST00019</t>
  </si>
  <si>
    <t>CUST00020</t>
  </si>
  <si>
    <t>CUST00021</t>
  </si>
  <si>
    <t>CUST00022</t>
  </si>
  <si>
    <t>CUST00023</t>
  </si>
  <si>
    <t>CUST00024</t>
  </si>
  <si>
    <t>CUST00025</t>
  </si>
  <si>
    <t>CUST00026</t>
  </si>
  <si>
    <t>CUST00027</t>
  </si>
  <si>
    <t>CUST00028</t>
  </si>
  <si>
    <t>CUST00029</t>
  </si>
  <si>
    <t>CUST00030</t>
  </si>
  <si>
    <t>CUST00031</t>
  </si>
  <si>
    <t>CUST00032</t>
  </si>
  <si>
    <t>CUST00033</t>
  </si>
  <si>
    <t>CUST00034</t>
  </si>
  <si>
    <t>CUST00035</t>
  </si>
  <si>
    <t>CUST00036</t>
  </si>
  <si>
    <t>CUST00037</t>
  </si>
  <si>
    <t>CUST00038</t>
  </si>
  <si>
    <t>CUST00039</t>
  </si>
  <si>
    <t>CUST00040</t>
  </si>
  <si>
    <t>CUST00041</t>
  </si>
  <si>
    <t>CUST00042</t>
  </si>
  <si>
    <t>CUST00043</t>
  </si>
  <si>
    <t>CUST00044</t>
  </si>
  <si>
    <t>CUST00045</t>
  </si>
  <si>
    <t>CUST00046</t>
  </si>
  <si>
    <t>CUST00047</t>
  </si>
  <si>
    <t>CUST00048</t>
  </si>
  <si>
    <t>CUST00049</t>
  </si>
  <si>
    <t>CUST00050</t>
  </si>
  <si>
    <t>CUST00051</t>
  </si>
  <si>
    <t>CUST00052</t>
  </si>
  <si>
    <t>CUST00053</t>
  </si>
  <si>
    <t>CUST00054</t>
  </si>
  <si>
    <t>CUST00055</t>
  </si>
  <si>
    <t>CUST00056</t>
  </si>
  <si>
    <t>CUST00057</t>
  </si>
  <si>
    <t>CUST00058</t>
  </si>
  <si>
    <t>CUST00059</t>
  </si>
  <si>
    <t>CUST00060</t>
  </si>
  <si>
    <t>CUST00061</t>
  </si>
  <si>
    <t>CUST00062</t>
  </si>
  <si>
    <t>CUST00063</t>
  </si>
  <si>
    <t>CUST00064</t>
  </si>
  <si>
    <t>CUST00065</t>
  </si>
  <si>
    <t>CUST00066</t>
  </si>
  <si>
    <t>CUST00067</t>
  </si>
  <si>
    <t>CUST00068</t>
  </si>
  <si>
    <t>CUST00069</t>
  </si>
  <si>
    <t>CUST00070</t>
  </si>
  <si>
    <t>CUST00071</t>
  </si>
  <si>
    <t>CUST00072</t>
  </si>
  <si>
    <t>CUST00073</t>
  </si>
  <si>
    <t>CUST00074</t>
  </si>
  <si>
    <t>CUST00075</t>
  </si>
  <si>
    <t>CUST00076</t>
  </si>
  <si>
    <t>CUST00077</t>
  </si>
  <si>
    <t>CUST00078</t>
  </si>
  <si>
    <t>CUST00079</t>
  </si>
  <si>
    <t>CUST00080</t>
  </si>
  <si>
    <t>CUST00081</t>
  </si>
  <si>
    <t>CUST00082</t>
  </si>
  <si>
    <t>CUST00083</t>
  </si>
  <si>
    <t>CUST00084</t>
  </si>
  <si>
    <t>CUST00085</t>
  </si>
  <si>
    <t>CUST00086</t>
  </si>
  <si>
    <t>CUST00087</t>
  </si>
  <si>
    <t>CUST00088</t>
  </si>
  <si>
    <t>CUST00089</t>
  </si>
  <si>
    <t>CUST00090</t>
  </si>
  <si>
    <t>CUST00091</t>
  </si>
  <si>
    <t>CUST00092</t>
  </si>
  <si>
    <t>CUST00093</t>
  </si>
  <si>
    <t>CUST00094</t>
  </si>
  <si>
    <t>CUST00095</t>
  </si>
  <si>
    <t>CUST00096</t>
  </si>
  <si>
    <t>CUST00097</t>
  </si>
  <si>
    <t>CUST00098</t>
  </si>
  <si>
    <t>CUST00099</t>
  </si>
  <si>
    <t>CUST00100</t>
  </si>
  <si>
    <t>CUST00101</t>
  </si>
  <si>
    <t>CUST00102</t>
  </si>
  <si>
    <t>CUST00103</t>
  </si>
  <si>
    <t>CUST00104</t>
  </si>
  <si>
    <t>CUST00105</t>
  </si>
  <si>
    <t>CUST00106</t>
  </si>
  <si>
    <t>CUST00107</t>
  </si>
  <si>
    <t>CUST00108</t>
  </si>
  <si>
    <t>CUST00109</t>
  </si>
  <si>
    <t>CUST00110</t>
  </si>
  <si>
    <t>CUST00111</t>
  </si>
  <si>
    <t>CUST00112</t>
  </si>
  <si>
    <t>CUST00113</t>
  </si>
  <si>
    <t>CUST00114</t>
  </si>
  <si>
    <t>CUST00115</t>
  </si>
  <si>
    <t>CUST00116</t>
  </si>
  <si>
    <t>CUST00117</t>
  </si>
  <si>
    <t>CUST00118</t>
  </si>
  <si>
    <t>CUST00119</t>
  </si>
  <si>
    <t>CUST00120</t>
  </si>
  <si>
    <t>CUST00121</t>
  </si>
  <si>
    <t>CUST00122</t>
  </si>
  <si>
    <t>CUST00123</t>
  </si>
  <si>
    <t>CUST00124</t>
  </si>
  <si>
    <t>CUST00125</t>
  </si>
  <si>
    <t>CUST00126</t>
  </si>
  <si>
    <t>CUST00127</t>
  </si>
  <si>
    <t>CUST00128</t>
  </si>
  <si>
    <t>CUST00129</t>
  </si>
  <si>
    <t>CUST00130</t>
  </si>
  <si>
    <t>CUST00131</t>
  </si>
  <si>
    <t>CUST00132</t>
  </si>
  <si>
    <t>CUST00133</t>
  </si>
  <si>
    <t>CUST00134</t>
  </si>
  <si>
    <t>CUST00135</t>
  </si>
  <si>
    <t>CUST00136</t>
  </si>
  <si>
    <t>CUST00137</t>
  </si>
  <si>
    <t>CUST00138</t>
  </si>
  <si>
    <t>CUST00139</t>
  </si>
  <si>
    <t>CUST00140</t>
  </si>
  <si>
    <t>CUST00141</t>
  </si>
  <si>
    <t>CUST00142</t>
  </si>
  <si>
    <t>CUST00143</t>
  </si>
  <si>
    <t>CUST00144</t>
  </si>
  <si>
    <t>CUST00145</t>
  </si>
  <si>
    <t>CUST00146</t>
  </si>
  <si>
    <t>CUST00147</t>
  </si>
  <si>
    <t>CUST00148</t>
  </si>
  <si>
    <t>CUST00149</t>
  </si>
  <si>
    <t>CUST00150</t>
  </si>
  <si>
    <t>CUST00151</t>
  </si>
  <si>
    <t>CUST00152</t>
  </si>
  <si>
    <t>CUST00153</t>
  </si>
  <si>
    <t>CUST00154</t>
  </si>
  <si>
    <t>CUST00155</t>
  </si>
  <si>
    <t>CUST00156</t>
  </si>
  <si>
    <t>CUST00157</t>
  </si>
  <si>
    <t>CUST00158</t>
  </si>
  <si>
    <t>CUST00159</t>
  </si>
  <si>
    <t>CUST00160</t>
  </si>
  <si>
    <t>CUST00161</t>
  </si>
  <si>
    <t>CUST00162</t>
  </si>
  <si>
    <t>CUST00163</t>
  </si>
  <si>
    <t>CUST00164</t>
  </si>
  <si>
    <t>CUST00165</t>
  </si>
  <si>
    <t>CUST00166</t>
  </si>
  <si>
    <t>CUST00167</t>
  </si>
  <si>
    <t>CUST00168</t>
  </si>
  <si>
    <t>CUST00169</t>
  </si>
  <si>
    <t>CUST00170</t>
  </si>
  <si>
    <t>CUST00171</t>
  </si>
  <si>
    <t>CUST00172</t>
  </si>
  <si>
    <t>CUST00173</t>
  </si>
  <si>
    <t>CUST00174</t>
  </si>
  <si>
    <t>CUST00175</t>
  </si>
  <si>
    <t>CUST00176</t>
  </si>
  <si>
    <t>CUST00177</t>
  </si>
  <si>
    <t>CUST00178</t>
  </si>
  <si>
    <t>CUST00179</t>
  </si>
  <si>
    <t>CUST00180</t>
  </si>
  <si>
    <t>CUST00181</t>
  </si>
  <si>
    <t>CUST00182</t>
  </si>
  <si>
    <t>CUST00183</t>
  </si>
  <si>
    <t>CUST00184</t>
  </si>
  <si>
    <t>CUST00185</t>
  </si>
  <si>
    <t>CUST00186</t>
  </si>
  <si>
    <t>CUST00187</t>
  </si>
  <si>
    <t>CUST00188</t>
  </si>
  <si>
    <t>CUST00189</t>
  </si>
  <si>
    <t>CUST00190</t>
  </si>
  <si>
    <t>CUST00191</t>
  </si>
  <si>
    <t>CUST00192</t>
  </si>
  <si>
    <t>CUST00193</t>
  </si>
  <si>
    <t>CUST00194</t>
  </si>
  <si>
    <t>CUST00195</t>
  </si>
  <si>
    <t>CUST00196</t>
  </si>
  <si>
    <t>CUST00197</t>
  </si>
  <si>
    <t>CUST00198</t>
  </si>
  <si>
    <t>CUST00199</t>
  </si>
  <si>
    <t>CUST00200</t>
  </si>
  <si>
    <t>CUST00201</t>
  </si>
  <si>
    <t>CUST00202</t>
  </si>
  <si>
    <t>CUST00203</t>
  </si>
  <si>
    <t>CUST00204</t>
  </si>
  <si>
    <t>CUST00205</t>
  </si>
  <si>
    <t>CUST00206</t>
  </si>
  <si>
    <t>CUST00207</t>
  </si>
  <si>
    <t>CUST00208</t>
  </si>
  <si>
    <t>CUST00209</t>
  </si>
  <si>
    <t>CUST00210</t>
  </si>
  <si>
    <t>CUST00211</t>
  </si>
  <si>
    <t>CUST00212</t>
  </si>
  <si>
    <t>CUST00213</t>
  </si>
  <si>
    <t>CUST00214</t>
  </si>
  <si>
    <t>CUST00215</t>
  </si>
  <si>
    <t>CUST00216</t>
  </si>
  <si>
    <t>CUST00217</t>
  </si>
  <si>
    <t>CUST00218</t>
  </si>
  <si>
    <t>CUST00219</t>
  </si>
  <si>
    <t>CUST00220</t>
  </si>
  <si>
    <t>CUST00221</t>
  </si>
  <si>
    <t>CUST00222</t>
  </si>
  <si>
    <t>CUST00223</t>
  </si>
  <si>
    <t>CUST00224</t>
  </si>
  <si>
    <t>CUST00225</t>
  </si>
  <si>
    <t>CUST00226</t>
  </si>
  <si>
    <t>CUST00227</t>
  </si>
  <si>
    <t>CUST00228</t>
  </si>
  <si>
    <t>CUST00229</t>
  </si>
  <si>
    <t>CUST00230</t>
  </si>
  <si>
    <t>CUST00231</t>
  </si>
  <si>
    <t>CUST00232</t>
  </si>
  <si>
    <t>CUST00233</t>
  </si>
  <si>
    <t>CUST00234</t>
  </si>
  <si>
    <t>CUST00235</t>
  </si>
  <si>
    <t>CUST00236</t>
  </si>
  <si>
    <t>CUST00237</t>
  </si>
  <si>
    <t>CUST00238</t>
  </si>
  <si>
    <t>CUST00239</t>
  </si>
  <si>
    <t>CUST00240</t>
  </si>
  <si>
    <t>CUST00241</t>
  </si>
  <si>
    <t>CUST00242</t>
  </si>
  <si>
    <t>CUST00243</t>
  </si>
  <si>
    <t>CUST00244</t>
  </si>
  <si>
    <t>CUST00245</t>
  </si>
  <si>
    <t>CUST00246</t>
  </si>
  <si>
    <t>CUST00247</t>
  </si>
  <si>
    <t>CUST00248</t>
  </si>
  <si>
    <t>CUST00249</t>
  </si>
  <si>
    <t>CUST00250</t>
  </si>
  <si>
    <t>CUST00251</t>
  </si>
  <si>
    <t>CUST00252</t>
  </si>
  <si>
    <t>CUST00253</t>
  </si>
  <si>
    <t>CUST00254</t>
  </si>
  <si>
    <t>CUST00255</t>
  </si>
  <si>
    <t>CUST00256</t>
  </si>
  <si>
    <t>CUST00257</t>
  </si>
  <si>
    <t>CUST00258</t>
  </si>
  <si>
    <t>CUST00259</t>
  </si>
  <si>
    <t>CUST00260</t>
  </si>
  <si>
    <t>CUST00261</t>
  </si>
  <si>
    <t>CUST00262</t>
  </si>
  <si>
    <t>CUST00263</t>
  </si>
  <si>
    <t>CUST00264</t>
  </si>
  <si>
    <t>CUST00265</t>
  </si>
  <si>
    <t>CUST00266</t>
  </si>
  <si>
    <t>CUST00267</t>
  </si>
  <si>
    <t>CUST00268</t>
  </si>
  <si>
    <t>CUST00269</t>
  </si>
  <si>
    <t>CUST00270</t>
  </si>
  <si>
    <t>CUST00271</t>
  </si>
  <si>
    <t>CUST00272</t>
  </si>
  <si>
    <t>CUST00273</t>
  </si>
  <si>
    <t>CUST00274</t>
  </si>
  <si>
    <t>CUST00275</t>
  </si>
  <si>
    <t>CUST00276</t>
  </si>
  <si>
    <t>CUST00277</t>
  </si>
  <si>
    <t>CUST00278</t>
  </si>
  <si>
    <t>CUST00279</t>
  </si>
  <si>
    <t>CUST00280</t>
  </si>
  <si>
    <t>CUST00281</t>
  </si>
  <si>
    <t>CUST00282</t>
  </si>
  <si>
    <t>CUST00283</t>
  </si>
  <si>
    <t>CUST00284</t>
  </si>
  <si>
    <t>CUST00285</t>
  </si>
  <si>
    <t>CUST00286</t>
  </si>
  <si>
    <t>CUST00287</t>
  </si>
  <si>
    <t>CUST00288</t>
  </si>
  <si>
    <t>CUST00289</t>
  </si>
  <si>
    <t>CUST00290</t>
  </si>
  <si>
    <t>CUST00291</t>
  </si>
  <si>
    <t>CUST00292</t>
  </si>
  <si>
    <t>CUST00293</t>
  </si>
  <si>
    <t>CUST00294</t>
  </si>
  <si>
    <t>CUST00295</t>
  </si>
  <si>
    <t>CUST00296</t>
  </si>
  <si>
    <t>CUST00297</t>
  </si>
  <si>
    <t>CUST00298</t>
  </si>
  <si>
    <t>CUST00299</t>
  </si>
  <si>
    <t>CUST00300</t>
  </si>
  <si>
    <t>CUST00301</t>
  </si>
  <si>
    <t>CUST00302</t>
  </si>
  <si>
    <t>CUST00303</t>
  </si>
  <si>
    <t>CUST00304</t>
  </si>
  <si>
    <t>CUST00305</t>
  </si>
  <si>
    <t>CUST00306</t>
  </si>
  <si>
    <t>CUST00307</t>
  </si>
  <si>
    <t>CUST00308</t>
  </si>
  <si>
    <t>CUST00309</t>
  </si>
  <si>
    <t>CUST00310</t>
  </si>
  <si>
    <t>CUST00311</t>
  </si>
  <si>
    <t>CUST00312</t>
  </si>
  <si>
    <t>CUST00313</t>
  </si>
  <si>
    <t>CUST00314</t>
  </si>
  <si>
    <t>CUST00315</t>
  </si>
  <si>
    <t>CUST00316</t>
  </si>
  <si>
    <t>CUST00317</t>
  </si>
  <si>
    <t>CUST00318</t>
  </si>
  <si>
    <t>CUST00319</t>
  </si>
  <si>
    <t>CUST00320</t>
  </si>
  <si>
    <t>CUST00321</t>
  </si>
  <si>
    <t>CUST00322</t>
  </si>
  <si>
    <t>CUST00323</t>
  </si>
  <si>
    <t>CUST00324</t>
  </si>
  <si>
    <t>CUST00325</t>
  </si>
  <si>
    <t>CUST00326</t>
  </si>
  <si>
    <t>CUST00327</t>
  </si>
  <si>
    <t>CUST00328</t>
  </si>
  <si>
    <t>CUST00329</t>
  </si>
  <si>
    <t>CUST00330</t>
  </si>
  <si>
    <t>CUST00331</t>
  </si>
  <si>
    <t>CUST00332</t>
  </si>
  <si>
    <t>CUST00333</t>
  </si>
  <si>
    <t>CUST00334</t>
  </si>
  <si>
    <t>CUST00335</t>
  </si>
  <si>
    <t>CUST00336</t>
  </si>
  <si>
    <t>CUST00337</t>
  </si>
  <si>
    <t>CUST00338</t>
  </si>
  <si>
    <t>CUST00339</t>
  </si>
  <si>
    <t>CUST00340</t>
  </si>
  <si>
    <t>CUST00341</t>
  </si>
  <si>
    <t>CUST00342</t>
  </si>
  <si>
    <t>CUST00343</t>
  </si>
  <si>
    <t>CUST00344</t>
  </si>
  <si>
    <t>CUST00345</t>
  </si>
  <si>
    <t>CUST00346</t>
  </si>
  <si>
    <t>CUST00347</t>
  </si>
  <si>
    <t>CUST00348</t>
  </si>
  <si>
    <t>CUST00349</t>
  </si>
  <si>
    <t>CUST00350</t>
  </si>
  <si>
    <t>CUST00351</t>
  </si>
  <si>
    <t>CUST00352</t>
  </si>
  <si>
    <t>CUST00353</t>
  </si>
  <si>
    <t>CUST00354</t>
  </si>
  <si>
    <t>CUST00355</t>
  </si>
  <si>
    <t>CUST00356</t>
  </si>
  <si>
    <t>CUST00357</t>
  </si>
  <si>
    <t>CUST00358</t>
  </si>
  <si>
    <t>CUST00359</t>
  </si>
  <si>
    <t>CUST00360</t>
  </si>
  <si>
    <t>CUST00361</t>
  </si>
  <si>
    <t>CUST00362</t>
  </si>
  <si>
    <t>CUST00363</t>
  </si>
  <si>
    <t>CUST00364</t>
  </si>
  <si>
    <t>CUST00365</t>
  </si>
  <si>
    <t>CUST00366</t>
  </si>
  <si>
    <t>CUST00367</t>
  </si>
  <si>
    <t>CUST00368</t>
  </si>
  <si>
    <t>CUST00369</t>
  </si>
  <si>
    <t>CUST00370</t>
  </si>
  <si>
    <t>CUST00371</t>
  </si>
  <si>
    <t>CUST00372</t>
  </si>
  <si>
    <t>CUST00373</t>
  </si>
  <si>
    <t>CUST00374</t>
  </si>
  <si>
    <t>CUST00375</t>
  </si>
  <si>
    <t>CUST00376</t>
  </si>
  <si>
    <t>CUST00377</t>
  </si>
  <si>
    <t>CUST00378</t>
  </si>
  <si>
    <t>CUST00379</t>
  </si>
  <si>
    <t>CUST00380</t>
  </si>
  <si>
    <t>CUST00381</t>
  </si>
  <si>
    <t>CUST00382</t>
  </si>
  <si>
    <t>CUST00383</t>
  </si>
  <si>
    <t>CUST00384</t>
  </si>
  <si>
    <t>CUST00385</t>
  </si>
  <si>
    <t>CUST00386</t>
  </si>
  <si>
    <t>CUST00387</t>
  </si>
  <si>
    <t>CUST00388</t>
  </si>
  <si>
    <t>CUST00389</t>
  </si>
  <si>
    <t>CUST00390</t>
  </si>
  <si>
    <t>CUST00391</t>
  </si>
  <si>
    <t>CUST00392</t>
  </si>
  <si>
    <t>CUST00393</t>
  </si>
  <si>
    <t>CUST00394</t>
  </si>
  <si>
    <t>CUST00395</t>
  </si>
  <si>
    <t>CUST00396</t>
  </si>
  <si>
    <t>CUST00397</t>
  </si>
  <si>
    <t>CUST00398</t>
  </si>
  <si>
    <t>CUST00399</t>
  </si>
  <si>
    <t>CUST00400</t>
  </si>
  <si>
    <t>CUST00401</t>
  </si>
  <si>
    <t>CUST00402</t>
  </si>
  <si>
    <t>CUST00403</t>
  </si>
  <si>
    <t>CUST00404</t>
  </si>
  <si>
    <t>CUST00405</t>
  </si>
  <si>
    <t>CUST00406</t>
  </si>
  <si>
    <t>CUST00407</t>
  </si>
  <si>
    <t>CUST00408</t>
  </si>
  <si>
    <t>CUST00409</t>
  </si>
  <si>
    <t>CUST00410</t>
  </si>
  <si>
    <t>CUST00411</t>
  </si>
  <si>
    <t>CUST00412</t>
  </si>
  <si>
    <t>CUST00413</t>
  </si>
  <si>
    <t>CUST00414</t>
  </si>
  <si>
    <t>CUST00415</t>
  </si>
  <si>
    <t>CUST00416</t>
  </si>
  <si>
    <t>CUST00417</t>
  </si>
  <si>
    <t>CUST00418</t>
  </si>
  <si>
    <t>CUST00419</t>
  </si>
  <si>
    <t>CUST00420</t>
  </si>
  <si>
    <t>Payment</t>
  </si>
  <si>
    <t>TransactionDate</t>
  </si>
  <si>
    <t>S Year</t>
  </si>
  <si>
    <t>S Month</t>
  </si>
  <si>
    <t>T Year</t>
  </si>
  <si>
    <t>T Month</t>
  </si>
  <si>
    <t>T Month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</si>
</sst>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64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* #,##0_);_(* \(#,##0\);_(* &quot;-&quot;??_);_(@_)"/>
    </dxf>
    <dxf>
      <numFmt numFmtId="165" formatCode="m/d/yyyy"/>
    </dxf>
    <dxf>
      <numFmt numFmtId="165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C29DBF-0DA8-44FF-87D2-E8E722042A7B}" name="Scaleflow" displayName="Scaleflow" ref="A1:R421" totalsRowShown="0">
  <autoFilter ref="A1:R421" xr:uid="{17C29DBF-0DA8-44FF-87D2-E8E722042A7B}"/>
  <tableColumns count="18">
    <tableColumn id="1" xr3:uid="{5C9B4689-6364-462E-A3CF-E0362DC2EC47}" name="Customer_ID"/>
    <tableColumn id="2" xr3:uid="{4BED68A6-B3A3-41C4-9963-C54785BD94F8}" name="Signup_Date" dataDxfId="8"/>
    <tableColumn id="17" xr3:uid="{532175E9-0B6C-453C-B9D8-29D019FBE0BC}" name="TransactionDate" dataDxfId="7"/>
    <tableColumn id="3" xr3:uid="{F5D4D14F-2182-4FBB-88E2-59531FFA6D14}" name="Customer_Segment"/>
    <tableColumn id="4" xr3:uid="{D8C66160-12E1-4E03-ADE8-82E90F8F1EAC}" name="Industry"/>
    <tableColumn id="5" xr3:uid="{45D3945C-42F6-4343-ADA7-98900557BEE2}" name="Subscription_Plan"/>
    <tableColumn id="6" xr3:uid="{136944E7-A031-4A36-93F7-EB380DA7A7B3}" name="Monthly_Revenue" dataDxfId="6" dataCellStyle="Comma"/>
    <tableColumn id="7" xr3:uid="{BB6C0CF3-558B-466C-B120-5C77C8EE5217}" name="Customer_Region"/>
    <tableColumn id="8" xr3:uid="{9498A058-D0D6-44D7-93AE-D73336B9F301}" name="Acquisition_Channel"/>
    <tableColumn id="9" xr3:uid="{75B989DE-22D6-40EB-B47D-8A9DE050FD02}" name="Support_Tickets_Opened"/>
    <tableColumn id="10" xr3:uid="{FE86CA41-0B21-4E27-AEFB-2BAD38A88F20}" name="Is_Active"/>
    <tableColumn id="11" xr3:uid="{EE7D5FFC-FB8E-419F-96DC-DDD981B12DA9}" name="Has_Churned"/>
    <tableColumn id="12" xr3:uid="{6B97E4D1-B559-4382-B7AA-6681983BFA7E}" name="S Year" dataDxfId="5">
      <calculatedColumnFormula>YEAR(Scaleflow[[#This Row],[Signup_Date]])</calculatedColumnFormula>
    </tableColumn>
    <tableColumn id="13" xr3:uid="{FE63983B-72BB-45B0-831A-6BCDB6BF515F}" name="S Month" dataDxfId="4">
      <calculatedColumnFormula>TEXT(Scaleflow[[#This Row],[Signup_Date]],"MMM")</calculatedColumnFormula>
    </tableColumn>
    <tableColumn id="14" xr3:uid="{DE1E8D82-F4C3-499E-B156-FFA3C8890FF7}" name="Payment" dataDxfId="3">
      <calculatedColumnFormula>IF(Scaleflow[[#This Row],[Monthly_Revenue]]=0,"Free","Paid")</calculatedColumnFormula>
    </tableColumn>
    <tableColumn id="15" xr3:uid="{90562455-B808-448F-9524-11BD7A9BD0ED}" name="T Year" dataDxfId="2">
      <calculatedColumnFormula>YEAR(Scaleflow[[#This Row],[TransactionDate]])</calculatedColumnFormula>
    </tableColumn>
    <tableColumn id="16" xr3:uid="{9A78F427-2584-43B5-B4EF-D25648928149}" name="T Month No" dataDxfId="1">
      <calculatedColumnFormula>MONTH(Scaleflow[[#This Row],[TransactionDate]])</calculatedColumnFormula>
    </tableColumn>
    <tableColumn id="18" xr3:uid="{A7F4686A-870A-4A16-B3A6-1491BD36878C}" name="T Month" dataDxfId="0">
      <calculatedColumnFormula>TEXT(Scaleflow[[#This Row],[TransactionDate]],"MMM")</calculatedColumnFormula>
    </tableColumn>
  </tableColumns>
  <tableStyleInfo name="TableStyleLight2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1C6FF-7F91-47DD-B81B-4AAF3FA1FB12}">
  <dimension ref="A1:K421"/>
  <sheetViews>
    <sheetView workbookViewId="0"/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 t="s">
        <v>11</v>
      </c>
      <c r="B2" s="1">
        <v>45300</v>
      </c>
      <c r="C2" t="s">
        <v>12</v>
      </c>
      <c r="D2" t="s">
        <v>13</v>
      </c>
      <c r="E2" t="s">
        <v>14</v>
      </c>
      <c r="F2">
        <v>0</v>
      </c>
      <c r="G2" t="s">
        <v>15</v>
      </c>
      <c r="H2" t="s">
        <v>16</v>
      </c>
      <c r="I2">
        <v>5</v>
      </c>
      <c r="J2" t="s">
        <v>17</v>
      </c>
      <c r="K2" t="s">
        <v>18</v>
      </c>
    </row>
    <row r="3" spans="1:11" x14ac:dyDescent="0.3">
      <c r="A3" t="s">
        <v>19</v>
      </c>
      <c r="B3" s="1">
        <v>45666</v>
      </c>
      <c r="C3" t="s">
        <v>20</v>
      </c>
      <c r="D3" t="s">
        <v>21</v>
      </c>
      <c r="E3" t="s">
        <v>12</v>
      </c>
      <c r="F3">
        <v>236452</v>
      </c>
      <c r="G3" t="s">
        <v>22</v>
      </c>
      <c r="H3" t="s">
        <v>16</v>
      </c>
      <c r="I3">
        <v>1</v>
      </c>
      <c r="J3" t="s">
        <v>18</v>
      </c>
      <c r="K3" t="s">
        <v>17</v>
      </c>
    </row>
    <row r="4" spans="1:11" x14ac:dyDescent="0.3">
      <c r="A4" t="s">
        <v>23</v>
      </c>
      <c r="B4" s="1">
        <v>45449</v>
      </c>
      <c r="C4" t="s">
        <v>24</v>
      </c>
      <c r="D4" t="s">
        <v>25</v>
      </c>
      <c r="E4" t="s">
        <v>12</v>
      </c>
      <c r="F4">
        <v>142654</v>
      </c>
      <c r="G4" t="s">
        <v>26</v>
      </c>
      <c r="H4" t="s">
        <v>27</v>
      </c>
      <c r="I4">
        <v>3</v>
      </c>
      <c r="J4" t="s">
        <v>18</v>
      </c>
      <c r="K4" t="s">
        <v>17</v>
      </c>
    </row>
    <row r="5" spans="1:11" x14ac:dyDescent="0.3">
      <c r="A5" t="s">
        <v>28</v>
      </c>
      <c r="B5" s="1">
        <v>45711</v>
      </c>
      <c r="C5" t="s">
        <v>12</v>
      </c>
      <c r="D5" t="s">
        <v>25</v>
      </c>
      <c r="E5" t="s">
        <v>29</v>
      </c>
      <c r="F5">
        <v>12618</v>
      </c>
      <c r="G5" t="s">
        <v>30</v>
      </c>
      <c r="H5" t="s">
        <v>31</v>
      </c>
      <c r="I5">
        <v>0</v>
      </c>
      <c r="J5" t="s">
        <v>18</v>
      </c>
      <c r="K5" t="s">
        <v>17</v>
      </c>
    </row>
    <row r="6" spans="1:11" x14ac:dyDescent="0.3">
      <c r="A6" t="s">
        <v>32</v>
      </c>
      <c r="B6" s="1">
        <v>44981</v>
      </c>
      <c r="C6" t="s">
        <v>12</v>
      </c>
      <c r="D6" t="s">
        <v>33</v>
      </c>
      <c r="E6" t="s">
        <v>14</v>
      </c>
      <c r="F6">
        <v>0</v>
      </c>
      <c r="G6" t="s">
        <v>34</v>
      </c>
      <c r="H6" t="s">
        <v>27</v>
      </c>
      <c r="I6">
        <v>3</v>
      </c>
      <c r="J6" t="s">
        <v>18</v>
      </c>
      <c r="K6" t="s">
        <v>17</v>
      </c>
    </row>
    <row r="7" spans="1:11" x14ac:dyDescent="0.3">
      <c r="A7" t="s">
        <v>35</v>
      </c>
      <c r="B7" s="1">
        <v>45639</v>
      </c>
      <c r="C7" t="s">
        <v>12</v>
      </c>
      <c r="D7" t="s">
        <v>25</v>
      </c>
      <c r="E7" t="s">
        <v>12</v>
      </c>
      <c r="F7">
        <v>194693</v>
      </c>
      <c r="G7" t="s">
        <v>26</v>
      </c>
      <c r="H7" t="s">
        <v>36</v>
      </c>
      <c r="I7">
        <v>2</v>
      </c>
      <c r="J7" t="s">
        <v>18</v>
      </c>
      <c r="K7" t="s">
        <v>17</v>
      </c>
    </row>
    <row r="8" spans="1:11" x14ac:dyDescent="0.3">
      <c r="A8" t="s">
        <v>37</v>
      </c>
      <c r="B8" s="1">
        <v>45151</v>
      </c>
      <c r="C8" t="s">
        <v>12</v>
      </c>
      <c r="D8" t="s">
        <v>13</v>
      </c>
      <c r="E8" t="s">
        <v>29</v>
      </c>
      <c r="F8">
        <v>7962</v>
      </c>
      <c r="G8" t="s">
        <v>15</v>
      </c>
      <c r="H8" t="s">
        <v>27</v>
      </c>
      <c r="I8">
        <v>2</v>
      </c>
      <c r="J8" t="s">
        <v>18</v>
      </c>
      <c r="K8" t="s">
        <v>17</v>
      </c>
    </row>
    <row r="9" spans="1:11" x14ac:dyDescent="0.3">
      <c r="A9" t="s">
        <v>38</v>
      </c>
      <c r="B9" s="1">
        <v>45539</v>
      </c>
      <c r="C9" t="s">
        <v>24</v>
      </c>
      <c r="D9" t="s">
        <v>39</v>
      </c>
      <c r="E9" t="s">
        <v>14</v>
      </c>
      <c r="F9">
        <v>0</v>
      </c>
      <c r="G9" t="s">
        <v>30</v>
      </c>
      <c r="H9" t="s">
        <v>27</v>
      </c>
      <c r="I9">
        <v>1</v>
      </c>
      <c r="J9" t="s">
        <v>18</v>
      </c>
      <c r="K9" t="s">
        <v>17</v>
      </c>
    </row>
    <row r="10" spans="1:11" x14ac:dyDescent="0.3">
      <c r="A10" t="s">
        <v>40</v>
      </c>
      <c r="B10" s="1">
        <v>45506</v>
      </c>
      <c r="C10" t="s">
        <v>24</v>
      </c>
      <c r="D10" t="s">
        <v>41</v>
      </c>
      <c r="E10" t="s">
        <v>14</v>
      </c>
      <c r="F10">
        <v>0</v>
      </c>
      <c r="G10" t="s">
        <v>22</v>
      </c>
      <c r="H10" t="s">
        <v>42</v>
      </c>
      <c r="I10">
        <v>4</v>
      </c>
      <c r="J10" t="s">
        <v>18</v>
      </c>
      <c r="K10" t="s">
        <v>17</v>
      </c>
    </row>
    <row r="11" spans="1:11" x14ac:dyDescent="0.3">
      <c r="A11" t="s">
        <v>43</v>
      </c>
      <c r="B11" s="1">
        <v>45081</v>
      </c>
      <c r="C11" t="s">
        <v>24</v>
      </c>
      <c r="D11" t="s">
        <v>13</v>
      </c>
      <c r="E11" t="s">
        <v>14</v>
      </c>
      <c r="F11">
        <v>0</v>
      </c>
      <c r="G11" t="s">
        <v>22</v>
      </c>
      <c r="H11" t="s">
        <v>31</v>
      </c>
      <c r="I11">
        <v>0</v>
      </c>
      <c r="J11" t="s">
        <v>18</v>
      </c>
      <c r="K11" t="s">
        <v>17</v>
      </c>
    </row>
    <row r="12" spans="1:11" x14ac:dyDescent="0.3">
      <c r="A12" t="s">
        <v>44</v>
      </c>
      <c r="B12" s="1">
        <v>45866</v>
      </c>
      <c r="C12" t="s">
        <v>12</v>
      </c>
      <c r="D12" t="s">
        <v>13</v>
      </c>
      <c r="E12" t="s">
        <v>12</v>
      </c>
      <c r="F12">
        <v>126510</v>
      </c>
      <c r="G12" t="s">
        <v>34</v>
      </c>
      <c r="H12" t="s">
        <v>16</v>
      </c>
      <c r="I12">
        <v>0</v>
      </c>
      <c r="J12" t="s">
        <v>18</v>
      </c>
      <c r="K12" t="s">
        <v>17</v>
      </c>
    </row>
    <row r="13" spans="1:11" x14ac:dyDescent="0.3">
      <c r="A13" t="s">
        <v>45</v>
      </c>
      <c r="B13" s="1">
        <v>45547</v>
      </c>
      <c r="C13" t="s">
        <v>24</v>
      </c>
      <c r="D13" t="s">
        <v>25</v>
      </c>
      <c r="E13" t="s">
        <v>46</v>
      </c>
      <c r="F13">
        <v>28827</v>
      </c>
      <c r="G13" t="s">
        <v>34</v>
      </c>
      <c r="H13" t="s">
        <v>36</v>
      </c>
      <c r="I13">
        <v>4</v>
      </c>
      <c r="J13" t="s">
        <v>18</v>
      </c>
      <c r="K13" t="s">
        <v>17</v>
      </c>
    </row>
    <row r="14" spans="1:11" x14ac:dyDescent="0.3">
      <c r="A14" t="s">
        <v>47</v>
      </c>
      <c r="B14" s="1">
        <v>45004</v>
      </c>
      <c r="C14" t="s">
        <v>12</v>
      </c>
      <c r="D14" t="s">
        <v>25</v>
      </c>
      <c r="E14" t="s">
        <v>46</v>
      </c>
      <c r="F14">
        <v>36223</v>
      </c>
      <c r="G14" t="s">
        <v>26</v>
      </c>
      <c r="H14" t="s">
        <v>27</v>
      </c>
      <c r="I14">
        <v>1</v>
      </c>
      <c r="J14" t="s">
        <v>18</v>
      </c>
      <c r="K14" t="s">
        <v>17</v>
      </c>
    </row>
    <row r="15" spans="1:11" x14ac:dyDescent="0.3">
      <c r="A15" t="s">
        <v>48</v>
      </c>
      <c r="B15" s="1">
        <v>45388</v>
      </c>
      <c r="C15" t="s">
        <v>24</v>
      </c>
      <c r="D15" t="s">
        <v>13</v>
      </c>
      <c r="E15" t="s">
        <v>14</v>
      </c>
      <c r="F15">
        <v>0</v>
      </c>
      <c r="G15" t="s">
        <v>49</v>
      </c>
      <c r="H15" t="s">
        <v>16</v>
      </c>
      <c r="I15">
        <v>1</v>
      </c>
      <c r="J15" t="s">
        <v>18</v>
      </c>
      <c r="K15" t="s">
        <v>17</v>
      </c>
    </row>
    <row r="16" spans="1:11" x14ac:dyDescent="0.3">
      <c r="A16" t="s">
        <v>50</v>
      </c>
      <c r="B16" s="1">
        <v>45549</v>
      </c>
      <c r="C16" t="s">
        <v>20</v>
      </c>
      <c r="D16" t="s">
        <v>39</v>
      </c>
      <c r="E16" t="s">
        <v>29</v>
      </c>
      <c r="F16">
        <v>8867</v>
      </c>
      <c r="G16" t="s">
        <v>22</v>
      </c>
      <c r="H16" t="s">
        <v>36</v>
      </c>
      <c r="I16">
        <v>3</v>
      </c>
      <c r="J16" t="s">
        <v>18</v>
      </c>
      <c r="K16" t="s">
        <v>17</v>
      </c>
    </row>
    <row r="17" spans="1:11" x14ac:dyDescent="0.3">
      <c r="A17" t="s">
        <v>51</v>
      </c>
      <c r="B17" s="1">
        <v>45729</v>
      </c>
      <c r="C17" t="s">
        <v>12</v>
      </c>
      <c r="D17" t="s">
        <v>41</v>
      </c>
      <c r="E17" t="s">
        <v>29</v>
      </c>
      <c r="F17">
        <v>7686</v>
      </c>
      <c r="G17" t="s">
        <v>22</v>
      </c>
      <c r="H17" t="s">
        <v>16</v>
      </c>
      <c r="I17">
        <v>5</v>
      </c>
      <c r="J17" t="s">
        <v>18</v>
      </c>
      <c r="K17" t="s">
        <v>17</v>
      </c>
    </row>
    <row r="18" spans="1:11" x14ac:dyDescent="0.3">
      <c r="A18" t="s">
        <v>52</v>
      </c>
      <c r="B18" s="1">
        <v>45107</v>
      </c>
      <c r="C18" t="s">
        <v>20</v>
      </c>
      <c r="D18" t="s">
        <v>33</v>
      </c>
      <c r="E18" t="s">
        <v>14</v>
      </c>
      <c r="F18">
        <v>0</v>
      </c>
      <c r="G18" t="s">
        <v>34</v>
      </c>
      <c r="H18" t="s">
        <v>27</v>
      </c>
      <c r="I18">
        <v>1</v>
      </c>
      <c r="J18" t="s">
        <v>18</v>
      </c>
      <c r="K18" t="s">
        <v>17</v>
      </c>
    </row>
    <row r="19" spans="1:11" x14ac:dyDescent="0.3">
      <c r="A19" t="s">
        <v>53</v>
      </c>
      <c r="B19" s="1">
        <v>45653</v>
      </c>
      <c r="C19" t="s">
        <v>20</v>
      </c>
      <c r="D19" t="s">
        <v>25</v>
      </c>
      <c r="E19" t="s">
        <v>14</v>
      </c>
      <c r="F19">
        <v>0</v>
      </c>
      <c r="G19" t="s">
        <v>49</v>
      </c>
      <c r="H19" t="s">
        <v>16</v>
      </c>
      <c r="I19">
        <v>4</v>
      </c>
      <c r="J19" t="s">
        <v>18</v>
      </c>
      <c r="K19" t="s">
        <v>17</v>
      </c>
    </row>
    <row r="20" spans="1:11" x14ac:dyDescent="0.3">
      <c r="A20" t="s">
        <v>54</v>
      </c>
      <c r="B20" s="1">
        <v>45410</v>
      </c>
      <c r="C20" t="s">
        <v>24</v>
      </c>
      <c r="D20" t="s">
        <v>25</v>
      </c>
      <c r="E20" t="s">
        <v>12</v>
      </c>
      <c r="F20">
        <v>184406</v>
      </c>
      <c r="G20" t="s">
        <v>30</v>
      </c>
      <c r="H20" t="s">
        <v>16</v>
      </c>
      <c r="I20">
        <v>4</v>
      </c>
      <c r="J20" t="s">
        <v>17</v>
      </c>
      <c r="K20" t="s">
        <v>18</v>
      </c>
    </row>
    <row r="21" spans="1:11" x14ac:dyDescent="0.3">
      <c r="A21" t="s">
        <v>55</v>
      </c>
      <c r="B21" s="1">
        <v>45084</v>
      </c>
      <c r="C21" t="s">
        <v>12</v>
      </c>
      <c r="D21" t="s">
        <v>25</v>
      </c>
      <c r="E21" t="s">
        <v>46</v>
      </c>
      <c r="F21">
        <v>40140</v>
      </c>
      <c r="G21" t="s">
        <v>30</v>
      </c>
      <c r="H21" t="s">
        <v>42</v>
      </c>
      <c r="I21">
        <v>4</v>
      </c>
      <c r="J21" t="s">
        <v>18</v>
      </c>
      <c r="K21" t="s">
        <v>17</v>
      </c>
    </row>
    <row r="22" spans="1:11" x14ac:dyDescent="0.3">
      <c r="A22" t="s">
        <v>56</v>
      </c>
      <c r="B22" s="1">
        <v>45046</v>
      </c>
      <c r="C22" t="s">
        <v>24</v>
      </c>
      <c r="D22" t="s">
        <v>33</v>
      </c>
      <c r="E22" t="s">
        <v>14</v>
      </c>
      <c r="F22">
        <v>0</v>
      </c>
      <c r="G22" t="s">
        <v>26</v>
      </c>
      <c r="H22" t="s">
        <v>31</v>
      </c>
      <c r="I22">
        <v>4</v>
      </c>
      <c r="J22" t="s">
        <v>18</v>
      </c>
      <c r="K22" t="s">
        <v>17</v>
      </c>
    </row>
    <row r="23" spans="1:11" x14ac:dyDescent="0.3">
      <c r="A23" t="s">
        <v>57</v>
      </c>
      <c r="B23" s="1">
        <v>45416</v>
      </c>
      <c r="C23" t="s">
        <v>24</v>
      </c>
      <c r="D23" t="s">
        <v>39</v>
      </c>
      <c r="E23" t="s">
        <v>12</v>
      </c>
      <c r="F23">
        <v>229209</v>
      </c>
      <c r="G23" t="s">
        <v>30</v>
      </c>
      <c r="H23" t="s">
        <v>27</v>
      </c>
      <c r="I23">
        <v>3</v>
      </c>
      <c r="J23" t="s">
        <v>18</v>
      </c>
      <c r="K23" t="s">
        <v>17</v>
      </c>
    </row>
    <row r="24" spans="1:11" x14ac:dyDescent="0.3">
      <c r="A24" t="s">
        <v>58</v>
      </c>
      <c r="B24" s="1">
        <v>45868</v>
      </c>
      <c r="C24" t="s">
        <v>20</v>
      </c>
      <c r="D24" t="s">
        <v>21</v>
      </c>
      <c r="E24" t="s">
        <v>29</v>
      </c>
      <c r="F24">
        <v>17518</v>
      </c>
      <c r="G24" t="s">
        <v>49</v>
      </c>
      <c r="H24" t="s">
        <v>36</v>
      </c>
      <c r="I24">
        <v>1</v>
      </c>
      <c r="J24" t="s">
        <v>18</v>
      </c>
      <c r="K24" t="s">
        <v>17</v>
      </c>
    </row>
    <row r="25" spans="1:11" x14ac:dyDescent="0.3">
      <c r="A25" t="s">
        <v>59</v>
      </c>
      <c r="B25" s="1">
        <v>45876</v>
      </c>
      <c r="C25" t="s">
        <v>24</v>
      </c>
      <c r="D25" t="s">
        <v>21</v>
      </c>
      <c r="E25" t="s">
        <v>46</v>
      </c>
      <c r="F25">
        <v>27940</v>
      </c>
      <c r="G25" t="s">
        <v>34</v>
      </c>
      <c r="H25" t="s">
        <v>31</v>
      </c>
      <c r="I25">
        <v>5</v>
      </c>
      <c r="J25" t="s">
        <v>18</v>
      </c>
      <c r="K25" t="s">
        <v>17</v>
      </c>
    </row>
    <row r="26" spans="1:11" x14ac:dyDescent="0.3">
      <c r="A26" t="s">
        <v>60</v>
      </c>
      <c r="B26" s="1">
        <v>45769</v>
      </c>
      <c r="C26" t="s">
        <v>24</v>
      </c>
      <c r="D26" t="s">
        <v>41</v>
      </c>
      <c r="E26" t="s">
        <v>14</v>
      </c>
      <c r="F26">
        <v>0</v>
      </c>
      <c r="G26" t="s">
        <v>15</v>
      </c>
      <c r="H26" t="s">
        <v>36</v>
      </c>
      <c r="I26">
        <v>3</v>
      </c>
      <c r="J26" t="s">
        <v>17</v>
      </c>
      <c r="K26" t="s">
        <v>18</v>
      </c>
    </row>
    <row r="27" spans="1:11" x14ac:dyDescent="0.3">
      <c r="A27" t="s">
        <v>61</v>
      </c>
      <c r="B27" s="1">
        <v>45550</v>
      </c>
      <c r="C27" t="s">
        <v>24</v>
      </c>
      <c r="D27" t="s">
        <v>25</v>
      </c>
      <c r="E27" t="s">
        <v>46</v>
      </c>
      <c r="F27">
        <v>41992</v>
      </c>
      <c r="G27" t="s">
        <v>15</v>
      </c>
      <c r="H27" t="s">
        <v>42</v>
      </c>
      <c r="I27">
        <v>1</v>
      </c>
      <c r="J27" t="s">
        <v>17</v>
      </c>
      <c r="K27" t="s">
        <v>18</v>
      </c>
    </row>
    <row r="28" spans="1:11" x14ac:dyDescent="0.3">
      <c r="A28" t="s">
        <v>62</v>
      </c>
      <c r="B28" s="1">
        <v>45553</v>
      </c>
      <c r="C28" t="s">
        <v>24</v>
      </c>
      <c r="D28" t="s">
        <v>21</v>
      </c>
      <c r="E28" t="s">
        <v>29</v>
      </c>
      <c r="F28">
        <v>11703</v>
      </c>
      <c r="G28" t="s">
        <v>22</v>
      </c>
      <c r="H28" t="s">
        <v>36</v>
      </c>
      <c r="I28">
        <v>5</v>
      </c>
      <c r="J28" t="s">
        <v>17</v>
      </c>
      <c r="K28" t="s">
        <v>18</v>
      </c>
    </row>
    <row r="29" spans="1:11" x14ac:dyDescent="0.3">
      <c r="A29" t="s">
        <v>63</v>
      </c>
      <c r="B29" s="1">
        <v>45477</v>
      </c>
      <c r="C29" t="s">
        <v>24</v>
      </c>
      <c r="D29" t="s">
        <v>41</v>
      </c>
      <c r="E29" t="s">
        <v>29</v>
      </c>
      <c r="F29">
        <v>17994</v>
      </c>
      <c r="G29" t="s">
        <v>22</v>
      </c>
      <c r="H29" t="s">
        <v>36</v>
      </c>
      <c r="I29">
        <v>5</v>
      </c>
      <c r="J29" t="s">
        <v>18</v>
      </c>
      <c r="K29" t="s">
        <v>17</v>
      </c>
    </row>
    <row r="30" spans="1:11" x14ac:dyDescent="0.3">
      <c r="A30" t="s">
        <v>64</v>
      </c>
      <c r="B30" s="1">
        <v>45402</v>
      </c>
      <c r="C30" t="s">
        <v>12</v>
      </c>
      <c r="D30" t="s">
        <v>33</v>
      </c>
      <c r="E30" t="s">
        <v>46</v>
      </c>
      <c r="F30">
        <v>45943</v>
      </c>
      <c r="G30" t="s">
        <v>34</v>
      </c>
      <c r="H30" t="s">
        <v>27</v>
      </c>
      <c r="I30">
        <v>3</v>
      </c>
      <c r="J30" t="s">
        <v>17</v>
      </c>
      <c r="K30" t="s">
        <v>18</v>
      </c>
    </row>
    <row r="31" spans="1:11" x14ac:dyDescent="0.3">
      <c r="A31" t="s">
        <v>65</v>
      </c>
      <c r="B31" s="1">
        <v>45043</v>
      </c>
      <c r="C31" t="s">
        <v>20</v>
      </c>
      <c r="D31" t="s">
        <v>25</v>
      </c>
      <c r="E31" t="s">
        <v>14</v>
      </c>
      <c r="F31">
        <v>0</v>
      </c>
      <c r="G31" t="s">
        <v>15</v>
      </c>
      <c r="H31" t="s">
        <v>27</v>
      </c>
      <c r="I31">
        <v>4</v>
      </c>
      <c r="J31" t="s">
        <v>18</v>
      </c>
      <c r="K31" t="s">
        <v>17</v>
      </c>
    </row>
    <row r="32" spans="1:11" x14ac:dyDescent="0.3">
      <c r="A32" t="s">
        <v>66</v>
      </c>
      <c r="B32" s="1">
        <v>45268</v>
      </c>
      <c r="C32" t="s">
        <v>12</v>
      </c>
      <c r="D32" t="s">
        <v>33</v>
      </c>
      <c r="E32" t="s">
        <v>12</v>
      </c>
      <c r="F32">
        <v>231298</v>
      </c>
      <c r="G32" t="s">
        <v>49</v>
      </c>
      <c r="H32" t="s">
        <v>42</v>
      </c>
      <c r="I32">
        <v>0</v>
      </c>
      <c r="J32" t="s">
        <v>18</v>
      </c>
      <c r="K32" t="s">
        <v>17</v>
      </c>
    </row>
    <row r="33" spans="1:11" x14ac:dyDescent="0.3">
      <c r="A33" t="s">
        <v>67</v>
      </c>
      <c r="B33" s="1">
        <v>45863</v>
      </c>
      <c r="C33" t="s">
        <v>24</v>
      </c>
      <c r="D33" t="s">
        <v>21</v>
      </c>
      <c r="E33" t="s">
        <v>29</v>
      </c>
      <c r="F33">
        <v>12128</v>
      </c>
      <c r="G33" t="s">
        <v>30</v>
      </c>
      <c r="H33" t="s">
        <v>36</v>
      </c>
      <c r="I33">
        <v>5</v>
      </c>
      <c r="J33" t="s">
        <v>18</v>
      </c>
      <c r="K33" t="s">
        <v>17</v>
      </c>
    </row>
    <row r="34" spans="1:11" x14ac:dyDescent="0.3">
      <c r="A34" t="s">
        <v>68</v>
      </c>
      <c r="B34" s="1">
        <v>45830</v>
      </c>
      <c r="C34" t="s">
        <v>12</v>
      </c>
      <c r="D34" t="s">
        <v>21</v>
      </c>
      <c r="E34" t="s">
        <v>14</v>
      </c>
      <c r="F34">
        <v>0</v>
      </c>
      <c r="G34" t="s">
        <v>22</v>
      </c>
      <c r="H34" t="s">
        <v>42</v>
      </c>
      <c r="I34">
        <v>3</v>
      </c>
      <c r="J34" t="s">
        <v>17</v>
      </c>
      <c r="K34" t="s">
        <v>18</v>
      </c>
    </row>
    <row r="35" spans="1:11" x14ac:dyDescent="0.3">
      <c r="A35" t="s">
        <v>69</v>
      </c>
      <c r="B35" s="1">
        <v>45657</v>
      </c>
      <c r="C35" t="s">
        <v>24</v>
      </c>
      <c r="D35" t="s">
        <v>33</v>
      </c>
      <c r="E35" t="s">
        <v>12</v>
      </c>
      <c r="F35">
        <v>109739</v>
      </c>
      <c r="G35" t="s">
        <v>26</v>
      </c>
      <c r="H35" t="s">
        <v>36</v>
      </c>
      <c r="I35">
        <v>5</v>
      </c>
      <c r="J35" t="s">
        <v>18</v>
      </c>
      <c r="K35" t="s">
        <v>17</v>
      </c>
    </row>
    <row r="36" spans="1:11" x14ac:dyDescent="0.3">
      <c r="A36" t="s">
        <v>70</v>
      </c>
      <c r="B36" s="1">
        <v>45080</v>
      </c>
      <c r="C36" t="s">
        <v>20</v>
      </c>
      <c r="D36" t="s">
        <v>39</v>
      </c>
      <c r="E36" t="s">
        <v>29</v>
      </c>
      <c r="F36">
        <v>16606</v>
      </c>
      <c r="G36" t="s">
        <v>15</v>
      </c>
      <c r="H36" t="s">
        <v>36</v>
      </c>
      <c r="I36">
        <v>5</v>
      </c>
      <c r="J36" t="s">
        <v>18</v>
      </c>
      <c r="K36" t="s">
        <v>17</v>
      </c>
    </row>
    <row r="37" spans="1:11" x14ac:dyDescent="0.3">
      <c r="A37" t="s">
        <v>71</v>
      </c>
      <c r="B37" s="1">
        <v>45264</v>
      </c>
      <c r="C37" t="s">
        <v>12</v>
      </c>
      <c r="D37" t="s">
        <v>21</v>
      </c>
      <c r="E37" t="s">
        <v>29</v>
      </c>
      <c r="F37">
        <v>17718</v>
      </c>
      <c r="G37" t="s">
        <v>49</v>
      </c>
      <c r="H37" t="s">
        <v>42</v>
      </c>
      <c r="I37">
        <v>2</v>
      </c>
      <c r="J37" t="s">
        <v>18</v>
      </c>
      <c r="K37" t="s">
        <v>17</v>
      </c>
    </row>
    <row r="38" spans="1:11" x14ac:dyDescent="0.3">
      <c r="A38" t="s">
        <v>72</v>
      </c>
      <c r="B38" s="1">
        <v>45496</v>
      </c>
      <c r="C38" t="s">
        <v>12</v>
      </c>
      <c r="D38" t="s">
        <v>21</v>
      </c>
      <c r="E38" t="s">
        <v>46</v>
      </c>
      <c r="F38">
        <v>40338</v>
      </c>
      <c r="G38" t="s">
        <v>30</v>
      </c>
      <c r="H38" t="s">
        <v>27</v>
      </c>
      <c r="I38">
        <v>5</v>
      </c>
      <c r="J38" t="s">
        <v>18</v>
      </c>
      <c r="K38" t="s">
        <v>17</v>
      </c>
    </row>
    <row r="39" spans="1:11" x14ac:dyDescent="0.3">
      <c r="A39" t="s">
        <v>73</v>
      </c>
      <c r="B39" s="1">
        <v>45086</v>
      </c>
      <c r="C39" t="s">
        <v>20</v>
      </c>
      <c r="D39" t="s">
        <v>41</v>
      </c>
      <c r="E39" t="s">
        <v>29</v>
      </c>
      <c r="F39">
        <v>8814</v>
      </c>
      <c r="G39" t="s">
        <v>34</v>
      </c>
      <c r="H39" t="s">
        <v>31</v>
      </c>
      <c r="I39">
        <v>5</v>
      </c>
      <c r="J39" t="s">
        <v>18</v>
      </c>
      <c r="K39" t="s">
        <v>17</v>
      </c>
    </row>
    <row r="40" spans="1:11" x14ac:dyDescent="0.3">
      <c r="A40" t="s">
        <v>74</v>
      </c>
      <c r="B40" s="1">
        <v>45787</v>
      </c>
      <c r="C40" t="s">
        <v>12</v>
      </c>
      <c r="D40" t="s">
        <v>39</v>
      </c>
      <c r="E40" t="s">
        <v>12</v>
      </c>
      <c r="F40">
        <v>205207</v>
      </c>
      <c r="G40" t="s">
        <v>22</v>
      </c>
      <c r="H40" t="s">
        <v>42</v>
      </c>
      <c r="I40">
        <v>5</v>
      </c>
      <c r="J40" t="s">
        <v>17</v>
      </c>
      <c r="K40" t="s">
        <v>18</v>
      </c>
    </row>
    <row r="41" spans="1:11" x14ac:dyDescent="0.3">
      <c r="A41" t="s">
        <v>75</v>
      </c>
      <c r="B41" s="1">
        <v>45203</v>
      </c>
      <c r="C41" t="s">
        <v>24</v>
      </c>
      <c r="D41" t="s">
        <v>39</v>
      </c>
      <c r="E41" t="s">
        <v>46</v>
      </c>
      <c r="F41">
        <v>29020</v>
      </c>
      <c r="G41" t="s">
        <v>34</v>
      </c>
      <c r="H41" t="s">
        <v>27</v>
      </c>
      <c r="I41">
        <v>1</v>
      </c>
      <c r="J41" t="s">
        <v>18</v>
      </c>
      <c r="K41" t="s">
        <v>17</v>
      </c>
    </row>
    <row r="42" spans="1:11" x14ac:dyDescent="0.3">
      <c r="A42" t="s">
        <v>76</v>
      </c>
      <c r="B42" s="1">
        <v>45448</v>
      </c>
      <c r="C42" t="s">
        <v>12</v>
      </c>
      <c r="D42" t="s">
        <v>39</v>
      </c>
      <c r="E42" t="s">
        <v>46</v>
      </c>
      <c r="F42">
        <v>52265</v>
      </c>
      <c r="G42" t="s">
        <v>22</v>
      </c>
      <c r="H42" t="s">
        <v>16</v>
      </c>
      <c r="I42">
        <v>3</v>
      </c>
      <c r="J42" t="s">
        <v>18</v>
      </c>
      <c r="K42" t="s">
        <v>17</v>
      </c>
    </row>
    <row r="43" spans="1:11" x14ac:dyDescent="0.3">
      <c r="A43" t="s">
        <v>77</v>
      </c>
      <c r="B43" s="1">
        <v>45368</v>
      </c>
      <c r="C43" t="s">
        <v>24</v>
      </c>
      <c r="D43" t="s">
        <v>21</v>
      </c>
      <c r="E43" t="s">
        <v>46</v>
      </c>
      <c r="F43">
        <v>38941</v>
      </c>
      <c r="G43" t="s">
        <v>34</v>
      </c>
      <c r="H43" t="s">
        <v>16</v>
      </c>
      <c r="I43">
        <v>1</v>
      </c>
      <c r="J43" t="s">
        <v>18</v>
      </c>
      <c r="K43" t="s">
        <v>17</v>
      </c>
    </row>
    <row r="44" spans="1:11" x14ac:dyDescent="0.3">
      <c r="A44" t="s">
        <v>78</v>
      </c>
      <c r="B44" s="1">
        <v>45619</v>
      </c>
      <c r="C44" t="s">
        <v>24</v>
      </c>
      <c r="D44" t="s">
        <v>25</v>
      </c>
      <c r="E44" t="s">
        <v>14</v>
      </c>
      <c r="F44">
        <v>0</v>
      </c>
      <c r="G44" t="s">
        <v>22</v>
      </c>
      <c r="H44" t="s">
        <v>16</v>
      </c>
      <c r="I44">
        <v>5</v>
      </c>
      <c r="J44" t="s">
        <v>18</v>
      </c>
      <c r="K44" t="s">
        <v>17</v>
      </c>
    </row>
    <row r="45" spans="1:11" x14ac:dyDescent="0.3">
      <c r="A45" t="s">
        <v>79</v>
      </c>
      <c r="B45" s="1">
        <v>45877</v>
      </c>
      <c r="C45" t="s">
        <v>20</v>
      </c>
      <c r="D45" t="s">
        <v>41</v>
      </c>
      <c r="E45" t="s">
        <v>46</v>
      </c>
      <c r="F45">
        <v>41009</v>
      </c>
      <c r="G45" t="s">
        <v>15</v>
      </c>
      <c r="H45" t="s">
        <v>42</v>
      </c>
      <c r="I45">
        <v>4</v>
      </c>
      <c r="J45" t="s">
        <v>18</v>
      </c>
      <c r="K45" t="s">
        <v>17</v>
      </c>
    </row>
    <row r="46" spans="1:11" x14ac:dyDescent="0.3">
      <c r="A46" t="s">
        <v>80</v>
      </c>
      <c r="B46" s="1">
        <v>45496</v>
      </c>
      <c r="C46" t="s">
        <v>24</v>
      </c>
      <c r="D46" t="s">
        <v>13</v>
      </c>
      <c r="E46" t="s">
        <v>14</v>
      </c>
      <c r="F46">
        <v>0</v>
      </c>
      <c r="G46" t="s">
        <v>22</v>
      </c>
      <c r="H46" t="s">
        <v>16</v>
      </c>
      <c r="I46">
        <v>3</v>
      </c>
      <c r="J46" t="s">
        <v>18</v>
      </c>
      <c r="K46" t="s">
        <v>17</v>
      </c>
    </row>
    <row r="47" spans="1:11" x14ac:dyDescent="0.3">
      <c r="A47" t="s">
        <v>81</v>
      </c>
      <c r="B47" s="1">
        <v>45161</v>
      </c>
      <c r="C47" t="s">
        <v>12</v>
      </c>
      <c r="D47" t="s">
        <v>25</v>
      </c>
      <c r="E47" t="s">
        <v>46</v>
      </c>
      <c r="F47">
        <v>55052</v>
      </c>
      <c r="G47" t="s">
        <v>15</v>
      </c>
      <c r="H47" t="s">
        <v>36</v>
      </c>
      <c r="I47">
        <v>4</v>
      </c>
      <c r="J47" t="s">
        <v>18</v>
      </c>
      <c r="K47" t="s">
        <v>17</v>
      </c>
    </row>
    <row r="48" spans="1:11" x14ac:dyDescent="0.3">
      <c r="A48" t="s">
        <v>82</v>
      </c>
      <c r="B48" s="1">
        <v>45299</v>
      </c>
      <c r="C48" t="s">
        <v>20</v>
      </c>
      <c r="D48" t="s">
        <v>25</v>
      </c>
      <c r="E48" t="s">
        <v>14</v>
      </c>
      <c r="F48">
        <v>0</v>
      </c>
      <c r="G48" t="s">
        <v>22</v>
      </c>
      <c r="H48" t="s">
        <v>27</v>
      </c>
      <c r="I48">
        <v>0</v>
      </c>
      <c r="J48" t="s">
        <v>18</v>
      </c>
      <c r="K48" t="s">
        <v>17</v>
      </c>
    </row>
    <row r="49" spans="1:11" x14ac:dyDescent="0.3">
      <c r="A49" t="s">
        <v>83</v>
      </c>
      <c r="B49" s="1">
        <v>44967</v>
      </c>
      <c r="C49" t="s">
        <v>20</v>
      </c>
      <c r="D49" t="s">
        <v>39</v>
      </c>
      <c r="E49" t="s">
        <v>29</v>
      </c>
      <c r="F49">
        <v>8080</v>
      </c>
      <c r="G49" t="s">
        <v>22</v>
      </c>
      <c r="H49" t="s">
        <v>31</v>
      </c>
      <c r="I49">
        <v>1</v>
      </c>
      <c r="J49" t="s">
        <v>17</v>
      </c>
      <c r="K49" t="s">
        <v>18</v>
      </c>
    </row>
    <row r="50" spans="1:11" x14ac:dyDescent="0.3">
      <c r="A50" t="s">
        <v>84</v>
      </c>
      <c r="B50" s="1">
        <v>45392</v>
      </c>
      <c r="C50" t="s">
        <v>20</v>
      </c>
      <c r="D50" t="s">
        <v>33</v>
      </c>
      <c r="E50" t="s">
        <v>46</v>
      </c>
      <c r="F50">
        <v>27090</v>
      </c>
      <c r="G50" t="s">
        <v>49</v>
      </c>
      <c r="H50" t="s">
        <v>31</v>
      </c>
      <c r="I50">
        <v>2</v>
      </c>
      <c r="J50" t="s">
        <v>18</v>
      </c>
      <c r="K50" t="s">
        <v>17</v>
      </c>
    </row>
    <row r="51" spans="1:11" x14ac:dyDescent="0.3">
      <c r="A51" t="s">
        <v>85</v>
      </c>
      <c r="B51" s="1">
        <v>45171</v>
      </c>
      <c r="C51" t="s">
        <v>20</v>
      </c>
      <c r="D51" t="s">
        <v>21</v>
      </c>
      <c r="E51" t="s">
        <v>46</v>
      </c>
      <c r="F51">
        <v>25743</v>
      </c>
      <c r="G51" t="s">
        <v>30</v>
      </c>
      <c r="H51" t="s">
        <v>27</v>
      </c>
      <c r="I51">
        <v>2</v>
      </c>
      <c r="J51" t="s">
        <v>18</v>
      </c>
      <c r="K51" t="s">
        <v>17</v>
      </c>
    </row>
    <row r="52" spans="1:11" x14ac:dyDescent="0.3">
      <c r="A52" t="s">
        <v>86</v>
      </c>
      <c r="B52" s="1">
        <v>45319</v>
      </c>
      <c r="C52" t="s">
        <v>24</v>
      </c>
      <c r="D52" t="s">
        <v>25</v>
      </c>
      <c r="E52" t="s">
        <v>29</v>
      </c>
      <c r="F52">
        <v>9997</v>
      </c>
      <c r="G52" t="s">
        <v>22</v>
      </c>
      <c r="H52" t="s">
        <v>16</v>
      </c>
      <c r="I52">
        <v>3</v>
      </c>
      <c r="J52" t="s">
        <v>18</v>
      </c>
      <c r="K52" t="s">
        <v>17</v>
      </c>
    </row>
    <row r="53" spans="1:11" x14ac:dyDescent="0.3">
      <c r="A53" t="s">
        <v>87</v>
      </c>
      <c r="B53" s="1">
        <v>45288</v>
      </c>
      <c r="C53" t="s">
        <v>12</v>
      </c>
      <c r="D53" t="s">
        <v>39</v>
      </c>
      <c r="E53" t="s">
        <v>14</v>
      </c>
      <c r="F53">
        <v>0</v>
      </c>
      <c r="G53" t="s">
        <v>15</v>
      </c>
      <c r="H53" t="s">
        <v>31</v>
      </c>
      <c r="I53">
        <v>3</v>
      </c>
      <c r="J53" t="s">
        <v>18</v>
      </c>
      <c r="K53" t="s">
        <v>17</v>
      </c>
    </row>
    <row r="54" spans="1:11" x14ac:dyDescent="0.3">
      <c r="A54" t="s">
        <v>88</v>
      </c>
      <c r="B54" s="1">
        <v>45623</v>
      </c>
      <c r="C54" t="s">
        <v>12</v>
      </c>
      <c r="D54" t="s">
        <v>33</v>
      </c>
      <c r="E54" t="s">
        <v>29</v>
      </c>
      <c r="F54">
        <v>14701</v>
      </c>
      <c r="G54" t="s">
        <v>22</v>
      </c>
      <c r="H54" t="s">
        <v>36</v>
      </c>
      <c r="I54">
        <v>5</v>
      </c>
      <c r="J54" t="s">
        <v>18</v>
      </c>
      <c r="K54" t="s">
        <v>17</v>
      </c>
    </row>
    <row r="55" spans="1:11" x14ac:dyDescent="0.3">
      <c r="A55" t="s">
        <v>89</v>
      </c>
      <c r="B55" s="1">
        <v>45434</v>
      </c>
      <c r="C55" t="s">
        <v>20</v>
      </c>
      <c r="D55" t="s">
        <v>25</v>
      </c>
      <c r="E55" t="s">
        <v>46</v>
      </c>
      <c r="F55">
        <v>32861</v>
      </c>
      <c r="G55" t="s">
        <v>30</v>
      </c>
      <c r="H55" t="s">
        <v>42</v>
      </c>
      <c r="I55">
        <v>3</v>
      </c>
      <c r="J55" t="s">
        <v>18</v>
      </c>
      <c r="K55" t="s">
        <v>17</v>
      </c>
    </row>
    <row r="56" spans="1:11" x14ac:dyDescent="0.3">
      <c r="A56" t="s">
        <v>90</v>
      </c>
      <c r="B56" s="1">
        <v>45304</v>
      </c>
      <c r="C56" t="s">
        <v>24</v>
      </c>
      <c r="D56" t="s">
        <v>33</v>
      </c>
      <c r="E56" t="s">
        <v>29</v>
      </c>
      <c r="F56">
        <v>16955</v>
      </c>
      <c r="G56" t="s">
        <v>49</v>
      </c>
      <c r="H56" t="s">
        <v>16</v>
      </c>
      <c r="I56">
        <v>1</v>
      </c>
      <c r="J56" t="s">
        <v>18</v>
      </c>
      <c r="K56" t="s">
        <v>17</v>
      </c>
    </row>
    <row r="57" spans="1:11" x14ac:dyDescent="0.3">
      <c r="A57" t="s">
        <v>91</v>
      </c>
      <c r="B57" s="1">
        <v>45868</v>
      </c>
      <c r="C57" t="s">
        <v>20</v>
      </c>
      <c r="D57" t="s">
        <v>25</v>
      </c>
      <c r="E57" t="s">
        <v>14</v>
      </c>
      <c r="F57">
        <v>0</v>
      </c>
      <c r="G57" t="s">
        <v>15</v>
      </c>
      <c r="H57" t="s">
        <v>16</v>
      </c>
      <c r="I57">
        <v>0</v>
      </c>
      <c r="J57" t="s">
        <v>18</v>
      </c>
      <c r="K57" t="s">
        <v>17</v>
      </c>
    </row>
    <row r="58" spans="1:11" x14ac:dyDescent="0.3">
      <c r="A58" t="s">
        <v>92</v>
      </c>
      <c r="B58" s="1">
        <v>44938</v>
      </c>
      <c r="C58" t="s">
        <v>20</v>
      </c>
      <c r="D58" t="s">
        <v>25</v>
      </c>
      <c r="E58" t="s">
        <v>29</v>
      </c>
      <c r="F58">
        <v>15574</v>
      </c>
      <c r="G58" t="s">
        <v>34</v>
      </c>
      <c r="H58" t="s">
        <v>16</v>
      </c>
      <c r="I58">
        <v>0</v>
      </c>
      <c r="J58" t="s">
        <v>17</v>
      </c>
      <c r="K58" t="s">
        <v>18</v>
      </c>
    </row>
    <row r="59" spans="1:11" x14ac:dyDescent="0.3">
      <c r="A59" t="s">
        <v>93</v>
      </c>
      <c r="B59" s="1">
        <v>45837</v>
      </c>
      <c r="C59" t="s">
        <v>20</v>
      </c>
      <c r="D59" t="s">
        <v>39</v>
      </c>
      <c r="E59" t="s">
        <v>29</v>
      </c>
      <c r="F59">
        <v>8188</v>
      </c>
      <c r="G59" t="s">
        <v>26</v>
      </c>
      <c r="H59" t="s">
        <v>27</v>
      </c>
      <c r="I59">
        <v>3</v>
      </c>
      <c r="J59" t="s">
        <v>18</v>
      </c>
      <c r="K59" t="s">
        <v>17</v>
      </c>
    </row>
    <row r="60" spans="1:11" x14ac:dyDescent="0.3">
      <c r="A60" t="s">
        <v>94</v>
      </c>
      <c r="B60" s="1">
        <v>45881</v>
      </c>
      <c r="C60" t="s">
        <v>24</v>
      </c>
      <c r="D60" t="s">
        <v>39</v>
      </c>
      <c r="E60" t="s">
        <v>12</v>
      </c>
      <c r="F60">
        <v>176562</v>
      </c>
      <c r="G60" t="s">
        <v>34</v>
      </c>
      <c r="H60" t="s">
        <v>31</v>
      </c>
      <c r="I60">
        <v>0</v>
      </c>
      <c r="J60" t="s">
        <v>18</v>
      </c>
      <c r="K60" t="s">
        <v>17</v>
      </c>
    </row>
    <row r="61" spans="1:11" x14ac:dyDescent="0.3">
      <c r="A61" t="s">
        <v>95</v>
      </c>
      <c r="B61" s="1">
        <v>45838</v>
      </c>
      <c r="C61" t="s">
        <v>24</v>
      </c>
      <c r="D61" t="s">
        <v>25</v>
      </c>
      <c r="E61" t="s">
        <v>12</v>
      </c>
      <c r="F61">
        <v>103370</v>
      </c>
      <c r="G61" t="s">
        <v>34</v>
      </c>
      <c r="H61" t="s">
        <v>31</v>
      </c>
      <c r="I61">
        <v>4</v>
      </c>
      <c r="J61" t="s">
        <v>18</v>
      </c>
      <c r="K61" t="s">
        <v>17</v>
      </c>
    </row>
    <row r="62" spans="1:11" x14ac:dyDescent="0.3">
      <c r="A62" t="s">
        <v>96</v>
      </c>
      <c r="B62" s="1">
        <v>45666</v>
      </c>
      <c r="C62" t="s">
        <v>24</v>
      </c>
      <c r="D62" t="s">
        <v>25</v>
      </c>
      <c r="E62" t="s">
        <v>14</v>
      </c>
      <c r="F62">
        <v>0</v>
      </c>
      <c r="G62" t="s">
        <v>34</v>
      </c>
      <c r="H62" t="s">
        <v>31</v>
      </c>
      <c r="I62">
        <v>1</v>
      </c>
      <c r="J62" t="s">
        <v>18</v>
      </c>
      <c r="K62" t="s">
        <v>17</v>
      </c>
    </row>
    <row r="63" spans="1:11" x14ac:dyDescent="0.3">
      <c r="A63" t="s">
        <v>97</v>
      </c>
      <c r="B63" s="1">
        <v>45686</v>
      </c>
      <c r="C63" t="s">
        <v>20</v>
      </c>
      <c r="D63" t="s">
        <v>21</v>
      </c>
      <c r="E63" t="s">
        <v>14</v>
      </c>
      <c r="F63">
        <v>0</v>
      </c>
      <c r="G63" t="s">
        <v>34</v>
      </c>
      <c r="H63" t="s">
        <v>36</v>
      </c>
      <c r="I63">
        <v>3</v>
      </c>
      <c r="J63" t="s">
        <v>18</v>
      </c>
      <c r="K63" t="s">
        <v>17</v>
      </c>
    </row>
    <row r="64" spans="1:11" x14ac:dyDescent="0.3">
      <c r="A64" t="s">
        <v>98</v>
      </c>
      <c r="B64" s="1">
        <v>45698</v>
      </c>
      <c r="C64" t="s">
        <v>24</v>
      </c>
      <c r="D64" t="s">
        <v>39</v>
      </c>
      <c r="E64" t="s">
        <v>12</v>
      </c>
      <c r="F64">
        <v>160163</v>
      </c>
      <c r="G64" t="s">
        <v>30</v>
      </c>
      <c r="H64" t="s">
        <v>31</v>
      </c>
      <c r="I64">
        <v>1</v>
      </c>
      <c r="J64" t="s">
        <v>18</v>
      </c>
      <c r="K64" t="s">
        <v>17</v>
      </c>
    </row>
    <row r="65" spans="1:11" x14ac:dyDescent="0.3">
      <c r="A65" t="s">
        <v>99</v>
      </c>
      <c r="B65" s="1">
        <v>45226</v>
      </c>
      <c r="C65" t="s">
        <v>20</v>
      </c>
      <c r="D65" t="s">
        <v>13</v>
      </c>
      <c r="E65" t="s">
        <v>12</v>
      </c>
      <c r="F65">
        <v>202764</v>
      </c>
      <c r="G65" t="s">
        <v>26</v>
      </c>
      <c r="H65" t="s">
        <v>36</v>
      </c>
      <c r="I65">
        <v>4</v>
      </c>
      <c r="J65" t="s">
        <v>18</v>
      </c>
      <c r="K65" t="s">
        <v>17</v>
      </c>
    </row>
    <row r="66" spans="1:11" x14ac:dyDescent="0.3">
      <c r="A66" t="s">
        <v>100</v>
      </c>
      <c r="B66" s="1">
        <v>45663</v>
      </c>
      <c r="C66" t="s">
        <v>20</v>
      </c>
      <c r="D66" t="s">
        <v>39</v>
      </c>
      <c r="E66" t="s">
        <v>29</v>
      </c>
      <c r="F66">
        <v>10311</v>
      </c>
      <c r="G66" t="s">
        <v>26</v>
      </c>
      <c r="H66" t="s">
        <v>36</v>
      </c>
      <c r="I66">
        <v>2</v>
      </c>
      <c r="J66" t="s">
        <v>17</v>
      </c>
      <c r="K66" t="s">
        <v>18</v>
      </c>
    </row>
    <row r="67" spans="1:11" x14ac:dyDescent="0.3">
      <c r="A67" t="s">
        <v>101</v>
      </c>
      <c r="B67" s="1">
        <v>45333</v>
      </c>
      <c r="C67" t="s">
        <v>24</v>
      </c>
      <c r="D67" t="s">
        <v>25</v>
      </c>
      <c r="E67" t="s">
        <v>14</v>
      </c>
      <c r="F67">
        <v>0</v>
      </c>
      <c r="G67" t="s">
        <v>30</v>
      </c>
      <c r="H67" t="s">
        <v>31</v>
      </c>
      <c r="I67">
        <v>3</v>
      </c>
      <c r="J67" t="s">
        <v>18</v>
      </c>
      <c r="K67" t="s">
        <v>17</v>
      </c>
    </row>
    <row r="68" spans="1:11" x14ac:dyDescent="0.3">
      <c r="A68" t="s">
        <v>102</v>
      </c>
      <c r="B68" s="1">
        <v>45750</v>
      </c>
      <c r="C68" t="s">
        <v>20</v>
      </c>
      <c r="D68" t="s">
        <v>21</v>
      </c>
      <c r="E68" t="s">
        <v>29</v>
      </c>
      <c r="F68">
        <v>13070</v>
      </c>
      <c r="G68" t="s">
        <v>34</v>
      </c>
      <c r="H68" t="s">
        <v>36</v>
      </c>
      <c r="I68">
        <v>5</v>
      </c>
      <c r="J68" t="s">
        <v>18</v>
      </c>
      <c r="K68" t="s">
        <v>17</v>
      </c>
    </row>
    <row r="69" spans="1:11" x14ac:dyDescent="0.3">
      <c r="A69" t="s">
        <v>103</v>
      </c>
      <c r="B69" s="1">
        <v>45529</v>
      </c>
      <c r="C69" t="s">
        <v>24</v>
      </c>
      <c r="D69" t="s">
        <v>21</v>
      </c>
      <c r="E69" t="s">
        <v>12</v>
      </c>
      <c r="F69">
        <v>194900</v>
      </c>
      <c r="G69" t="s">
        <v>15</v>
      </c>
      <c r="H69" t="s">
        <v>31</v>
      </c>
      <c r="I69">
        <v>2</v>
      </c>
      <c r="J69" t="s">
        <v>18</v>
      </c>
      <c r="K69" t="s">
        <v>17</v>
      </c>
    </row>
    <row r="70" spans="1:11" x14ac:dyDescent="0.3">
      <c r="A70" t="s">
        <v>104</v>
      </c>
      <c r="B70" s="1">
        <v>45866</v>
      </c>
      <c r="C70" t="s">
        <v>12</v>
      </c>
      <c r="D70" t="s">
        <v>41</v>
      </c>
      <c r="E70" t="s">
        <v>29</v>
      </c>
      <c r="F70">
        <v>12949</v>
      </c>
      <c r="G70" t="s">
        <v>49</v>
      </c>
      <c r="H70" t="s">
        <v>16</v>
      </c>
      <c r="I70">
        <v>3</v>
      </c>
      <c r="J70" t="s">
        <v>18</v>
      </c>
      <c r="K70" t="s">
        <v>17</v>
      </c>
    </row>
    <row r="71" spans="1:11" x14ac:dyDescent="0.3">
      <c r="A71" t="s">
        <v>105</v>
      </c>
      <c r="B71" s="1">
        <v>45640</v>
      </c>
      <c r="C71" t="s">
        <v>12</v>
      </c>
      <c r="D71" t="s">
        <v>41</v>
      </c>
      <c r="E71" t="s">
        <v>12</v>
      </c>
      <c r="F71">
        <v>148346</v>
      </c>
      <c r="G71" t="s">
        <v>49</v>
      </c>
      <c r="H71" t="s">
        <v>31</v>
      </c>
      <c r="I71">
        <v>5</v>
      </c>
      <c r="J71" t="s">
        <v>17</v>
      </c>
      <c r="K71" t="s">
        <v>18</v>
      </c>
    </row>
    <row r="72" spans="1:11" x14ac:dyDescent="0.3">
      <c r="A72" t="s">
        <v>106</v>
      </c>
      <c r="B72" s="1">
        <v>45163</v>
      </c>
      <c r="C72" t="s">
        <v>12</v>
      </c>
      <c r="D72" t="s">
        <v>41</v>
      </c>
      <c r="E72" t="s">
        <v>29</v>
      </c>
      <c r="F72">
        <v>17673</v>
      </c>
      <c r="G72" t="s">
        <v>34</v>
      </c>
      <c r="H72" t="s">
        <v>16</v>
      </c>
      <c r="I72">
        <v>4</v>
      </c>
      <c r="J72" t="s">
        <v>18</v>
      </c>
      <c r="K72" t="s">
        <v>17</v>
      </c>
    </row>
    <row r="73" spans="1:11" x14ac:dyDescent="0.3">
      <c r="A73" t="s">
        <v>107</v>
      </c>
      <c r="B73" s="1">
        <v>45198</v>
      </c>
      <c r="C73" t="s">
        <v>12</v>
      </c>
      <c r="D73" t="s">
        <v>33</v>
      </c>
      <c r="E73" t="s">
        <v>46</v>
      </c>
      <c r="F73">
        <v>43092</v>
      </c>
      <c r="G73" t="s">
        <v>30</v>
      </c>
      <c r="H73" t="s">
        <v>27</v>
      </c>
      <c r="I73">
        <v>2</v>
      </c>
      <c r="J73" t="s">
        <v>18</v>
      </c>
      <c r="K73" t="s">
        <v>17</v>
      </c>
    </row>
    <row r="74" spans="1:11" x14ac:dyDescent="0.3">
      <c r="A74" t="s">
        <v>108</v>
      </c>
      <c r="B74" s="1">
        <v>45902</v>
      </c>
      <c r="C74" t="s">
        <v>24</v>
      </c>
      <c r="D74" t="s">
        <v>41</v>
      </c>
      <c r="E74" t="s">
        <v>12</v>
      </c>
      <c r="F74">
        <v>245358</v>
      </c>
      <c r="G74" t="s">
        <v>22</v>
      </c>
      <c r="H74" t="s">
        <v>31</v>
      </c>
      <c r="I74">
        <v>1</v>
      </c>
      <c r="J74" t="s">
        <v>18</v>
      </c>
      <c r="K74" t="s">
        <v>17</v>
      </c>
    </row>
    <row r="75" spans="1:11" x14ac:dyDescent="0.3">
      <c r="A75" t="s">
        <v>109</v>
      </c>
      <c r="B75" s="1">
        <v>45592</v>
      </c>
      <c r="C75" t="s">
        <v>12</v>
      </c>
      <c r="D75" t="s">
        <v>41</v>
      </c>
      <c r="E75" t="s">
        <v>46</v>
      </c>
      <c r="F75">
        <v>58655</v>
      </c>
      <c r="G75" t="s">
        <v>26</v>
      </c>
      <c r="H75" t="s">
        <v>27</v>
      </c>
      <c r="I75">
        <v>3</v>
      </c>
      <c r="J75" t="s">
        <v>17</v>
      </c>
      <c r="K75" t="s">
        <v>18</v>
      </c>
    </row>
    <row r="76" spans="1:11" x14ac:dyDescent="0.3">
      <c r="A76" t="s">
        <v>110</v>
      </c>
      <c r="B76" s="1">
        <v>44984</v>
      </c>
      <c r="C76" t="s">
        <v>24</v>
      </c>
      <c r="D76" t="s">
        <v>41</v>
      </c>
      <c r="E76" t="s">
        <v>29</v>
      </c>
      <c r="F76">
        <v>12971</v>
      </c>
      <c r="G76" t="s">
        <v>15</v>
      </c>
      <c r="H76" t="s">
        <v>36</v>
      </c>
      <c r="I76">
        <v>2</v>
      </c>
      <c r="J76" t="s">
        <v>18</v>
      </c>
      <c r="K76" t="s">
        <v>17</v>
      </c>
    </row>
    <row r="77" spans="1:11" x14ac:dyDescent="0.3">
      <c r="A77" t="s">
        <v>111</v>
      </c>
      <c r="B77" s="1">
        <v>45207</v>
      </c>
      <c r="C77" t="s">
        <v>20</v>
      </c>
      <c r="D77" t="s">
        <v>33</v>
      </c>
      <c r="E77" t="s">
        <v>14</v>
      </c>
      <c r="F77">
        <v>0</v>
      </c>
      <c r="G77" t="s">
        <v>30</v>
      </c>
      <c r="H77" t="s">
        <v>27</v>
      </c>
      <c r="I77">
        <v>1</v>
      </c>
      <c r="J77" t="s">
        <v>18</v>
      </c>
      <c r="K77" t="s">
        <v>17</v>
      </c>
    </row>
    <row r="78" spans="1:11" x14ac:dyDescent="0.3">
      <c r="A78" t="s">
        <v>112</v>
      </c>
      <c r="B78" s="1">
        <v>45243</v>
      </c>
      <c r="C78" t="s">
        <v>12</v>
      </c>
      <c r="D78" t="s">
        <v>21</v>
      </c>
      <c r="E78" t="s">
        <v>14</v>
      </c>
      <c r="F78">
        <v>0</v>
      </c>
      <c r="G78" t="s">
        <v>49</v>
      </c>
      <c r="H78" t="s">
        <v>42</v>
      </c>
      <c r="I78">
        <v>0</v>
      </c>
      <c r="J78" t="s">
        <v>18</v>
      </c>
      <c r="K78" t="s">
        <v>17</v>
      </c>
    </row>
    <row r="79" spans="1:11" x14ac:dyDescent="0.3">
      <c r="A79" t="s">
        <v>113</v>
      </c>
      <c r="B79" s="1">
        <v>45328</v>
      </c>
      <c r="C79" t="s">
        <v>20</v>
      </c>
      <c r="D79" t="s">
        <v>41</v>
      </c>
      <c r="E79" t="s">
        <v>14</v>
      </c>
      <c r="F79">
        <v>0</v>
      </c>
      <c r="G79" t="s">
        <v>49</v>
      </c>
      <c r="H79" t="s">
        <v>27</v>
      </c>
      <c r="I79">
        <v>4</v>
      </c>
      <c r="J79" t="s">
        <v>18</v>
      </c>
      <c r="K79" t="s">
        <v>17</v>
      </c>
    </row>
    <row r="80" spans="1:11" x14ac:dyDescent="0.3">
      <c r="A80" t="s">
        <v>114</v>
      </c>
      <c r="B80" s="1">
        <v>45039</v>
      </c>
      <c r="C80" t="s">
        <v>12</v>
      </c>
      <c r="D80" t="s">
        <v>25</v>
      </c>
      <c r="E80" t="s">
        <v>46</v>
      </c>
      <c r="F80">
        <v>52013</v>
      </c>
      <c r="G80" t="s">
        <v>49</v>
      </c>
      <c r="H80" t="s">
        <v>36</v>
      </c>
      <c r="I80">
        <v>1</v>
      </c>
      <c r="J80" t="s">
        <v>18</v>
      </c>
      <c r="K80" t="s">
        <v>17</v>
      </c>
    </row>
    <row r="81" spans="1:11" x14ac:dyDescent="0.3">
      <c r="A81" t="s">
        <v>115</v>
      </c>
      <c r="B81" s="1">
        <v>45434</v>
      </c>
      <c r="C81" t="s">
        <v>12</v>
      </c>
      <c r="D81" t="s">
        <v>39</v>
      </c>
      <c r="E81" t="s">
        <v>12</v>
      </c>
      <c r="F81">
        <v>187143</v>
      </c>
      <c r="G81" t="s">
        <v>26</v>
      </c>
      <c r="H81" t="s">
        <v>27</v>
      </c>
      <c r="I81">
        <v>5</v>
      </c>
      <c r="J81" t="s">
        <v>18</v>
      </c>
      <c r="K81" t="s">
        <v>17</v>
      </c>
    </row>
    <row r="82" spans="1:11" x14ac:dyDescent="0.3">
      <c r="A82" t="s">
        <v>116</v>
      </c>
      <c r="B82" s="1">
        <v>45515</v>
      </c>
      <c r="C82" t="s">
        <v>12</v>
      </c>
      <c r="D82" t="s">
        <v>33</v>
      </c>
      <c r="E82" t="s">
        <v>12</v>
      </c>
      <c r="F82">
        <v>162583</v>
      </c>
      <c r="G82" t="s">
        <v>49</v>
      </c>
      <c r="H82" t="s">
        <v>27</v>
      </c>
      <c r="I82">
        <v>1</v>
      </c>
      <c r="J82" t="s">
        <v>18</v>
      </c>
      <c r="K82" t="s">
        <v>17</v>
      </c>
    </row>
    <row r="83" spans="1:11" x14ac:dyDescent="0.3">
      <c r="A83" t="s">
        <v>117</v>
      </c>
      <c r="B83" s="1">
        <v>45128</v>
      </c>
      <c r="C83" t="s">
        <v>12</v>
      </c>
      <c r="D83" t="s">
        <v>39</v>
      </c>
      <c r="E83" t="s">
        <v>14</v>
      </c>
      <c r="F83">
        <v>0</v>
      </c>
      <c r="G83" t="s">
        <v>22</v>
      </c>
      <c r="H83" t="s">
        <v>36</v>
      </c>
      <c r="I83">
        <v>0</v>
      </c>
      <c r="J83" t="s">
        <v>18</v>
      </c>
      <c r="K83" t="s">
        <v>17</v>
      </c>
    </row>
    <row r="84" spans="1:11" x14ac:dyDescent="0.3">
      <c r="A84" t="s">
        <v>118</v>
      </c>
      <c r="B84" s="1">
        <v>45065</v>
      </c>
      <c r="C84" t="s">
        <v>24</v>
      </c>
      <c r="D84" t="s">
        <v>13</v>
      </c>
      <c r="E84" t="s">
        <v>46</v>
      </c>
      <c r="F84">
        <v>43073</v>
      </c>
      <c r="G84" t="s">
        <v>26</v>
      </c>
      <c r="H84" t="s">
        <v>31</v>
      </c>
      <c r="I84">
        <v>4</v>
      </c>
      <c r="J84" t="s">
        <v>18</v>
      </c>
      <c r="K84" t="s">
        <v>17</v>
      </c>
    </row>
    <row r="85" spans="1:11" x14ac:dyDescent="0.3">
      <c r="A85" t="s">
        <v>119</v>
      </c>
      <c r="B85" s="1">
        <v>45651</v>
      </c>
      <c r="C85" t="s">
        <v>24</v>
      </c>
      <c r="D85" t="s">
        <v>13</v>
      </c>
      <c r="E85" t="s">
        <v>46</v>
      </c>
      <c r="F85">
        <v>52667</v>
      </c>
      <c r="G85" t="s">
        <v>34</v>
      </c>
      <c r="H85" t="s">
        <v>16</v>
      </c>
      <c r="I85">
        <v>2</v>
      </c>
      <c r="J85" t="s">
        <v>17</v>
      </c>
      <c r="K85" t="s">
        <v>18</v>
      </c>
    </row>
    <row r="86" spans="1:11" x14ac:dyDescent="0.3">
      <c r="A86" t="s">
        <v>120</v>
      </c>
      <c r="B86" s="1">
        <v>45842</v>
      </c>
      <c r="C86" t="s">
        <v>24</v>
      </c>
      <c r="D86" t="s">
        <v>39</v>
      </c>
      <c r="E86" t="s">
        <v>29</v>
      </c>
      <c r="F86">
        <v>9537</v>
      </c>
      <c r="G86" t="s">
        <v>49</v>
      </c>
      <c r="H86" t="s">
        <v>31</v>
      </c>
      <c r="I86">
        <v>5</v>
      </c>
      <c r="J86" t="s">
        <v>18</v>
      </c>
      <c r="K86" t="s">
        <v>17</v>
      </c>
    </row>
    <row r="87" spans="1:11" x14ac:dyDescent="0.3">
      <c r="A87" t="s">
        <v>121</v>
      </c>
      <c r="B87" s="1">
        <v>45093</v>
      </c>
      <c r="C87" t="s">
        <v>20</v>
      </c>
      <c r="D87" t="s">
        <v>41</v>
      </c>
      <c r="E87" t="s">
        <v>12</v>
      </c>
      <c r="F87">
        <v>169147</v>
      </c>
      <c r="G87" t="s">
        <v>15</v>
      </c>
      <c r="H87" t="s">
        <v>36</v>
      </c>
      <c r="I87">
        <v>2</v>
      </c>
      <c r="J87" t="s">
        <v>17</v>
      </c>
      <c r="K87" t="s">
        <v>18</v>
      </c>
    </row>
    <row r="88" spans="1:11" x14ac:dyDescent="0.3">
      <c r="A88" t="s">
        <v>122</v>
      </c>
      <c r="B88" s="1">
        <v>45749</v>
      </c>
      <c r="C88" t="s">
        <v>12</v>
      </c>
      <c r="D88" t="s">
        <v>25</v>
      </c>
      <c r="E88" t="s">
        <v>14</v>
      </c>
      <c r="F88">
        <v>0</v>
      </c>
      <c r="G88" t="s">
        <v>49</v>
      </c>
      <c r="H88" t="s">
        <v>42</v>
      </c>
      <c r="I88">
        <v>1</v>
      </c>
      <c r="J88" t="s">
        <v>18</v>
      </c>
      <c r="K88" t="s">
        <v>17</v>
      </c>
    </row>
    <row r="89" spans="1:11" x14ac:dyDescent="0.3">
      <c r="A89" t="s">
        <v>123</v>
      </c>
      <c r="B89" s="1">
        <v>45372</v>
      </c>
      <c r="C89" t="s">
        <v>20</v>
      </c>
      <c r="D89" t="s">
        <v>39</v>
      </c>
      <c r="E89" t="s">
        <v>46</v>
      </c>
      <c r="F89">
        <v>33538</v>
      </c>
      <c r="G89" t="s">
        <v>26</v>
      </c>
      <c r="H89" t="s">
        <v>36</v>
      </c>
      <c r="I89">
        <v>4</v>
      </c>
      <c r="J89" t="s">
        <v>18</v>
      </c>
      <c r="K89" t="s">
        <v>17</v>
      </c>
    </row>
    <row r="90" spans="1:11" x14ac:dyDescent="0.3">
      <c r="A90" t="s">
        <v>124</v>
      </c>
      <c r="B90" s="1">
        <v>45211</v>
      </c>
      <c r="C90" t="s">
        <v>12</v>
      </c>
      <c r="D90" t="s">
        <v>39</v>
      </c>
      <c r="E90" t="s">
        <v>46</v>
      </c>
      <c r="F90">
        <v>37544</v>
      </c>
      <c r="G90" t="s">
        <v>49</v>
      </c>
      <c r="H90" t="s">
        <v>42</v>
      </c>
      <c r="I90">
        <v>1</v>
      </c>
      <c r="J90" t="s">
        <v>18</v>
      </c>
      <c r="K90" t="s">
        <v>17</v>
      </c>
    </row>
    <row r="91" spans="1:11" x14ac:dyDescent="0.3">
      <c r="A91" t="s">
        <v>125</v>
      </c>
      <c r="B91" s="1">
        <v>45818</v>
      </c>
      <c r="C91" t="s">
        <v>24</v>
      </c>
      <c r="D91" t="s">
        <v>25</v>
      </c>
      <c r="E91" t="s">
        <v>12</v>
      </c>
      <c r="F91">
        <v>116406</v>
      </c>
      <c r="G91" t="s">
        <v>34</v>
      </c>
      <c r="H91" t="s">
        <v>31</v>
      </c>
      <c r="I91">
        <v>5</v>
      </c>
      <c r="J91" t="s">
        <v>18</v>
      </c>
      <c r="K91" t="s">
        <v>17</v>
      </c>
    </row>
    <row r="92" spans="1:11" x14ac:dyDescent="0.3">
      <c r="A92" t="s">
        <v>126</v>
      </c>
      <c r="B92" s="1">
        <v>45592</v>
      </c>
      <c r="C92" t="s">
        <v>12</v>
      </c>
      <c r="D92" t="s">
        <v>39</v>
      </c>
      <c r="E92" t="s">
        <v>46</v>
      </c>
      <c r="F92">
        <v>37020</v>
      </c>
      <c r="G92" t="s">
        <v>26</v>
      </c>
      <c r="H92" t="s">
        <v>27</v>
      </c>
      <c r="I92">
        <v>1</v>
      </c>
      <c r="J92" t="s">
        <v>18</v>
      </c>
      <c r="K92" t="s">
        <v>17</v>
      </c>
    </row>
    <row r="93" spans="1:11" x14ac:dyDescent="0.3">
      <c r="A93" t="s">
        <v>127</v>
      </c>
      <c r="B93" s="1">
        <v>45275</v>
      </c>
      <c r="C93" t="s">
        <v>24</v>
      </c>
      <c r="D93" t="s">
        <v>21</v>
      </c>
      <c r="E93" t="s">
        <v>12</v>
      </c>
      <c r="F93">
        <v>202161</v>
      </c>
      <c r="G93" t="s">
        <v>26</v>
      </c>
      <c r="H93" t="s">
        <v>31</v>
      </c>
      <c r="I93">
        <v>3</v>
      </c>
      <c r="J93" t="s">
        <v>18</v>
      </c>
      <c r="K93" t="s">
        <v>17</v>
      </c>
    </row>
    <row r="94" spans="1:11" x14ac:dyDescent="0.3">
      <c r="A94" t="s">
        <v>128</v>
      </c>
      <c r="B94" s="1">
        <v>45728</v>
      </c>
      <c r="C94" t="s">
        <v>12</v>
      </c>
      <c r="D94" t="s">
        <v>25</v>
      </c>
      <c r="E94" t="s">
        <v>14</v>
      </c>
      <c r="F94">
        <v>0</v>
      </c>
      <c r="G94" t="s">
        <v>26</v>
      </c>
      <c r="H94" t="s">
        <v>27</v>
      </c>
      <c r="I94">
        <v>2</v>
      </c>
      <c r="J94" t="s">
        <v>18</v>
      </c>
      <c r="K94" t="s">
        <v>17</v>
      </c>
    </row>
    <row r="95" spans="1:11" x14ac:dyDescent="0.3">
      <c r="A95" t="s">
        <v>129</v>
      </c>
      <c r="B95" s="1">
        <v>45038</v>
      </c>
      <c r="C95" t="s">
        <v>20</v>
      </c>
      <c r="D95" t="s">
        <v>41</v>
      </c>
      <c r="E95" t="s">
        <v>14</v>
      </c>
      <c r="F95">
        <v>0</v>
      </c>
      <c r="G95" t="s">
        <v>22</v>
      </c>
      <c r="H95" t="s">
        <v>31</v>
      </c>
      <c r="I95">
        <v>5</v>
      </c>
      <c r="J95" t="s">
        <v>17</v>
      </c>
      <c r="K95" t="s">
        <v>18</v>
      </c>
    </row>
    <row r="96" spans="1:11" x14ac:dyDescent="0.3">
      <c r="A96" t="s">
        <v>130</v>
      </c>
      <c r="B96" s="1">
        <v>45154</v>
      </c>
      <c r="C96" t="s">
        <v>24</v>
      </c>
      <c r="D96" t="s">
        <v>21</v>
      </c>
      <c r="E96" t="s">
        <v>29</v>
      </c>
      <c r="F96">
        <v>17996</v>
      </c>
      <c r="G96" t="s">
        <v>26</v>
      </c>
      <c r="H96" t="s">
        <v>36</v>
      </c>
      <c r="I96">
        <v>2</v>
      </c>
      <c r="J96" t="s">
        <v>17</v>
      </c>
      <c r="K96" t="s">
        <v>18</v>
      </c>
    </row>
    <row r="97" spans="1:11" x14ac:dyDescent="0.3">
      <c r="A97" t="s">
        <v>131</v>
      </c>
      <c r="B97" s="1">
        <v>45447</v>
      </c>
      <c r="C97" t="s">
        <v>12</v>
      </c>
      <c r="D97" t="s">
        <v>13</v>
      </c>
      <c r="E97" t="s">
        <v>46</v>
      </c>
      <c r="F97">
        <v>44749</v>
      </c>
      <c r="G97" t="s">
        <v>15</v>
      </c>
      <c r="H97" t="s">
        <v>42</v>
      </c>
      <c r="I97">
        <v>0</v>
      </c>
      <c r="J97" t="s">
        <v>17</v>
      </c>
      <c r="K97" t="s">
        <v>18</v>
      </c>
    </row>
    <row r="98" spans="1:11" x14ac:dyDescent="0.3">
      <c r="A98" t="s">
        <v>132</v>
      </c>
      <c r="B98" s="1">
        <v>45043</v>
      </c>
      <c r="C98" t="s">
        <v>20</v>
      </c>
      <c r="D98" t="s">
        <v>41</v>
      </c>
      <c r="E98" t="s">
        <v>14</v>
      </c>
      <c r="F98">
        <v>0</v>
      </c>
      <c r="G98" t="s">
        <v>26</v>
      </c>
      <c r="H98" t="s">
        <v>27</v>
      </c>
      <c r="I98">
        <v>0</v>
      </c>
      <c r="J98" t="s">
        <v>17</v>
      </c>
      <c r="K98" t="s">
        <v>18</v>
      </c>
    </row>
    <row r="99" spans="1:11" x14ac:dyDescent="0.3">
      <c r="A99" t="s">
        <v>133</v>
      </c>
      <c r="B99" s="1">
        <v>45756</v>
      </c>
      <c r="C99" t="s">
        <v>24</v>
      </c>
      <c r="D99" t="s">
        <v>21</v>
      </c>
      <c r="E99" t="s">
        <v>29</v>
      </c>
      <c r="F99">
        <v>15485</v>
      </c>
      <c r="G99" t="s">
        <v>15</v>
      </c>
      <c r="H99" t="s">
        <v>31</v>
      </c>
      <c r="I99">
        <v>5</v>
      </c>
      <c r="J99" t="s">
        <v>18</v>
      </c>
      <c r="K99" t="s">
        <v>17</v>
      </c>
    </row>
    <row r="100" spans="1:11" x14ac:dyDescent="0.3">
      <c r="A100" t="s">
        <v>134</v>
      </c>
      <c r="B100" s="1">
        <v>45317</v>
      </c>
      <c r="C100" t="s">
        <v>12</v>
      </c>
      <c r="D100" t="s">
        <v>25</v>
      </c>
      <c r="E100" t="s">
        <v>29</v>
      </c>
      <c r="F100">
        <v>13961</v>
      </c>
      <c r="G100" t="s">
        <v>22</v>
      </c>
      <c r="H100" t="s">
        <v>27</v>
      </c>
      <c r="I100">
        <v>2</v>
      </c>
      <c r="J100" t="s">
        <v>18</v>
      </c>
      <c r="K100" t="s">
        <v>17</v>
      </c>
    </row>
    <row r="101" spans="1:11" x14ac:dyDescent="0.3">
      <c r="A101" t="s">
        <v>135</v>
      </c>
      <c r="B101" s="1">
        <v>45173</v>
      </c>
      <c r="C101" t="s">
        <v>24</v>
      </c>
      <c r="D101" t="s">
        <v>33</v>
      </c>
      <c r="E101" t="s">
        <v>12</v>
      </c>
      <c r="F101">
        <v>143726</v>
      </c>
      <c r="G101" t="s">
        <v>15</v>
      </c>
      <c r="H101" t="s">
        <v>16</v>
      </c>
      <c r="I101">
        <v>2</v>
      </c>
      <c r="J101" t="s">
        <v>18</v>
      </c>
      <c r="K101" t="s">
        <v>17</v>
      </c>
    </row>
    <row r="102" spans="1:11" x14ac:dyDescent="0.3">
      <c r="A102" t="s">
        <v>136</v>
      </c>
      <c r="B102" s="1">
        <v>44947</v>
      </c>
      <c r="C102" t="s">
        <v>24</v>
      </c>
      <c r="D102" t="s">
        <v>33</v>
      </c>
      <c r="E102" t="s">
        <v>46</v>
      </c>
      <c r="F102">
        <v>57328</v>
      </c>
      <c r="G102" t="s">
        <v>49</v>
      </c>
      <c r="H102" t="s">
        <v>16</v>
      </c>
      <c r="I102">
        <v>1</v>
      </c>
      <c r="J102" t="s">
        <v>18</v>
      </c>
      <c r="K102" t="s">
        <v>17</v>
      </c>
    </row>
    <row r="103" spans="1:11" x14ac:dyDescent="0.3">
      <c r="A103" t="s">
        <v>137</v>
      </c>
      <c r="B103" s="1">
        <v>45036</v>
      </c>
      <c r="C103" t="s">
        <v>12</v>
      </c>
      <c r="D103" t="s">
        <v>13</v>
      </c>
      <c r="E103" t="s">
        <v>12</v>
      </c>
      <c r="F103">
        <v>225167</v>
      </c>
      <c r="G103" t="s">
        <v>49</v>
      </c>
      <c r="H103" t="s">
        <v>31</v>
      </c>
      <c r="I103">
        <v>0</v>
      </c>
      <c r="J103" t="s">
        <v>18</v>
      </c>
      <c r="K103" t="s">
        <v>17</v>
      </c>
    </row>
    <row r="104" spans="1:11" x14ac:dyDescent="0.3">
      <c r="A104" t="s">
        <v>138</v>
      </c>
      <c r="B104" s="1">
        <v>45704</v>
      </c>
      <c r="C104" t="s">
        <v>24</v>
      </c>
      <c r="D104" t="s">
        <v>39</v>
      </c>
      <c r="E104" t="s">
        <v>29</v>
      </c>
      <c r="F104">
        <v>12776</v>
      </c>
      <c r="G104" t="s">
        <v>34</v>
      </c>
      <c r="H104" t="s">
        <v>36</v>
      </c>
      <c r="I104">
        <v>2</v>
      </c>
      <c r="J104" t="s">
        <v>18</v>
      </c>
      <c r="K104" t="s">
        <v>17</v>
      </c>
    </row>
    <row r="105" spans="1:11" x14ac:dyDescent="0.3">
      <c r="A105" t="s">
        <v>139</v>
      </c>
      <c r="B105" s="1">
        <v>45833</v>
      </c>
      <c r="C105" t="s">
        <v>24</v>
      </c>
      <c r="D105" t="s">
        <v>25</v>
      </c>
      <c r="E105" t="s">
        <v>46</v>
      </c>
      <c r="F105">
        <v>38127</v>
      </c>
      <c r="G105" t="s">
        <v>34</v>
      </c>
      <c r="H105" t="s">
        <v>16</v>
      </c>
      <c r="I105">
        <v>3</v>
      </c>
      <c r="J105" t="s">
        <v>18</v>
      </c>
      <c r="K105" t="s">
        <v>17</v>
      </c>
    </row>
    <row r="106" spans="1:11" x14ac:dyDescent="0.3">
      <c r="A106" t="s">
        <v>140</v>
      </c>
      <c r="B106" s="1">
        <v>44935</v>
      </c>
      <c r="C106" t="s">
        <v>12</v>
      </c>
      <c r="D106" t="s">
        <v>13</v>
      </c>
      <c r="E106" t="s">
        <v>12</v>
      </c>
      <c r="F106">
        <v>152778</v>
      </c>
      <c r="G106" t="s">
        <v>34</v>
      </c>
      <c r="H106" t="s">
        <v>16</v>
      </c>
      <c r="I106">
        <v>5</v>
      </c>
      <c r="J106" t="s">
        <v>18</v>
      </c>
      <c r="K106" t="s">
        <v>17</v>
      </c>
    </row>
    <row r="107" spans="1:11" x14ac:dyDescent="0.3">
      <c r="A107" t="s">
        <v>141</v>
      </c>
      <c r="B107" s="1">
        <v>45833</v>
      </c>
      <c r="C107" t="s">
        <v>12</v>
      </c>
      <c r="D107" t="s">
        <v>21</v>
      </c>
      <c r="E107" t="s">
        <v>14</v>
      </c>
      <c r="F107">
        <v>0</v>
      </c>
      <c r="G107" t="s">
        <v>34</v>
      </c>
      <c r="H107" t="s">
        <v>36</v>
      </c>
      <c r="I107">
        <v>1</v>
      </c>
      <c r="J107" t="s">
        <v>17</v>
      </c>
      <c r="K107" t="s">
        <v>18</v>
      </c>
    </row>
    <row r="108" spans="1:11" x14ac:dyDescent="0.3">
      <c r="A108" t="s">
        <v>142</v>
      </c>
      <c r="B108" s="1">
        <v>45801</v>
      </c>
      <c r="C108" t="s">
        <v>24</v>
      </c>
      <c r="D108" t="s">
        <v>33</v>
      </c>
      <c r="E108" t="s">
        <v>12</v>
      </c>
      <c r="F108">
        <v>248578</v>
      </c>
      <c r="G108" t="s">
        <v>26</v>
      </c>
      <c r="H108" t="s">
        <v>31</v>
      </c>
      <c r="I108">
        <v>4</v>
      </c>
      <c r="J108" t="s">
        <v>17</v>
      </c>
      <c r="K108" t="s">
        <v>18</v>
      </c>
    </row>
    <row r="109" spans="1:11" x14ac:dyDescent="0.3">
      <c r="A109" t="s">
        <v>143</v>
      </c>
      <c r="B109" s="1">
        <v>45798</v>
      </c>
      <c r="C109" t="s">
        <v>12</v>
      </c>
      <c r="D109" t="s">
        <v>41</v>
      </c>
      <c r="E109" t="s">
        <v>29</v>
      </c>
      <c r="F109">
        <v>12868</v>
      </c>
      <c r="G109" t="s">
        <v>26</v>
      </c>
      <c r="H109" t="s">
        <v>27</v>
      </c>
      <c r="I109">
        <v>4</v>
      </c>
      <c r="J109" t="s">
        <v>18</v>
      </c>
      <c r="K109" t="s">
        <v>17</v>
      </c>
    </row>
    <row r="110" spans="1:11" x14ac:dyDescent="0.3">
      <c r="A110" t="s">
        <v>144</v>
      </c>
      <c r="B110" s="1">
        <v>45695</v>
      </c>
      <c r="C110" t="s">
        <v>24</v>
      </c>
      <c r="D110" t="s">
        <v>13</v>
      </c>
      <c r="E110" t="s">
        <v>12</v>
      </c>
      <c r="F110">
        <v>233144</v>
      </c>
      <c r="G110" t="s">
        <v>22</v>
      </c>
      <c r="H110" t="s">
        <v>27</v>
      </c>
      <c r="I110">
        <v>0</v>
      </c>
      <c r="J110" t="s">
        <v>18</v>
      </c>
      <c r="K110" t="s">
        <v>17</v>
      </c>
    </row>
    <row r="111" spans="1:11" x14ac:dyDescent="0.3">
      <c r="A111" t="s">
        <v>145</v>
      </c>
      <c r="B111" s="1">
        <v>45890</v>
      </c>
      <c r="C111" t="s">
        <v>24</v>
      </c>
      <c r="D111" t="s">
        <v>41</v>
      </c>
      <c r="E111" t="s">
        <v>12</v>
      </c>
      <c r="F111">
        <v>213170</v>
      </c>
      <c r="G111" t="s">
        <v>34</v>
      </c>
      <c r="H111" t="s">
        <v>16</v>
      </c>
      <c r="I111">
        <v>0</v>
      </c>
      <c r="J111" t="s">
        <v>18</v>
      </c>
      <c r="K111" t="s">
        <v>17</v>
      </c>
    </row>
    <row r="112" spans="1:11" x14ac:dyDescent="0.3">
      <c r="A112" t="s">
        <v>146</v>
      </c>
      <c r="B112" s="1">
        <v>45103</v>
      </c>
      <c r="C112" t="s">
        <v>20</v>
      </c>
      <c r="D112" t="s">
        <v>21</v>
      </c>
      <c r="E112" t="s">
        <v>46</v>
      </c>
      <c r="F112">
        <v>53512</v>
      </c>
      <c r="G112" t="s">
        <v>30</v>
      </c>
      <c r="H112" t="s">
        <v>36</v>
      </c>
      <c r="I112">
        <v>2</v>
      </c>
      <c r="J112" t="s">
        <v>17</v>
      </c>
      <c r="K112" t="s">
        <v>18</v>
      </c>
    </row>
    <row r="113" spans="1:11" x14ac:dyDescent="0.3">
      <c r="A113" t="s">
        <v>147</v>
      </c>
      <c r="B113" s="1">
        <v>45327</v>
      </c>
      <c r="C113" t="s">
        <v>24</v>
      </c>
      <c r="D113" t="s">
        <v>25</v>
      </c>
      <c r="E113" t="s">
        <v>12</v>
      </c>
      <c r="F113">
        <v>182298</v>
      </c>
      <c r="G113" t="s">
        <v>34</v>
      </c>
      <c r="H113" t="s">
        <v>42</v>
      </c>
      <c r="I113">
        <v>0</v>
      </c>
      <c r="J113" t="s">
        <v>18</v>
      </c>
      <c r="K113" t="s">
        <v>17</v>
      </c>
    </row>
    <row r="114" spans="1:11" x14ac:dyDescent="0.3">
      <c r="A114" t="s">
        <v>148</v>
      </c>
      <c r="B114" s="1">
        <v>45043</v>
      </c>
      <c r="C114" t="s">
        <v>20</v>
      </c>
      <c r="D114" t="s">
        <v>25</v>
      </c>
      <c r="E114" t="s">
        <v>46</v>
      </c>
      <c r="F114">
        <v>31651</v>
      </c>
      <c r="G114" t="s">
        <v>49</v>
      </c>
      <c r="H114" t="s">
        <v>16</v>
      </c>
      <c r="I114">
        <v>5</v>
      </c>
      <c r="J114" t="s">
        <v>18</v>
      </c>
      <c r="K114" t="s">
        <v>17</v>
      </c>
    </row>
    <row r="115" spans="1:11" x14ac:dyDescent="0.3">
      <c r="A115" t="s">
        <v>149</v>
      </c>
      <c r="B115" s="1">
        <v>45730</v>
      </c>
      <c r="C115" t="s">
        <v>20</v>
      </c>
      <c r="D115" t="s">
        <v>13</v>
      </c>
      <c r="E115" t="s">
        <v>14</v>
      </c>
      <c r="F115">
        <v>0</v>
      </c>
      <c r="G115" t="s">
        <v>26</v>
      </c>
      <c r="H115" t="s">
        <v>42</v>
      </c>
      <c r="I115">
        <v>1</v>
      </c>
      <c r="J115" t="s">
        <v>18</v>
      </c>
      <c r="K115" t="s">
        <v>17</v>
      </c>
    </row>
    <row r="116" spans="1:11" x14ac:dyDescent="0.3">
      <c r="A116" t="s">
        <v>150</v>
      </c>
      <c r="B116" s="1">
        <v>45044</v>
      </c>
      <c r="C116" t="s">
        <v>24</v>
      </c>
      <c r="D116" t="s">
        <v>21</v>
      </c>
      <c r="E116" t="s">
        <v>46</v>
      </c>
      <c r="F116">
        <v>40611</v>
      </c>
      <c r="G116" t="s">
        <v>22</v>
      </c>
      <c r="H116" t="s">
        <v>42</v>
      </c>
      <c r="I116">
        <v>4</v>
      </c>
      <c r="J116" t="s">
        <v>17</v>
      </c>
      <c r="K116" t="s">
        <v>18</v>
      </c>
    </row>
    <row r="117" spans="1:11" x14ac:dyDescent="0.3">
      <c r="A117" t="s">
        <v>151</v>
      </c>
      <c r="B117" s="1">
        <v>45028</v>
      </c>
      <c r="C117" t="s">
        <v>20</v>
      </c>
      <c r="D117" t="s">
        <v>13</v>
      </c>
      <c r="E117" t="s">
        <v>12</v>
      </c>
      <c r="F117">
        <v>167751</v>
      </c>
      <c r="G117" t="s">
        <v>22</v>
      </c>
      <c r="H117" t="s">
        <v>16</v>
      </c>
      <c r="I117">
        <v>2</v>
      </c>
      <c r="J117" t="s">
        <v>18</v>
      </c>
      <c r="K117" t="s">
        <v>17</v>
      </c>
    </row>
    <row r="118" spans="1:11" x14ac:dyDescent="0.3">
      <c r="A118" t="s">
        <v>152</v>
      </c>
      <c r="B118" s="1">
        <v>45710</v>
      </c>
      <c r="C118" t="s">
        <v>20</v>
      </c>
      <c r="D118" t="s">
        <v>41</v>
      </c>
      <c r="E118" t="s">
        <v>46</v>
      </c>
      <c r="F118">
        <v>49229</v>
      </c>
      <c r="G118" t="s">
        <v>30</v>
      </c>
      <c r="H118" t="s">
        <v>36</v>
      </c>
      <c r="I118">
        <v>5</v>
      </c>
      <c r="J118" t="s">
        <v>18</v>
      </c>
      <c r="K118" t="s">
        <v>17</v>
      </c>
    </row>
    <row r="119" spans="1:11" x14ac:dyDescent="0.3">
      <c r="A119" t="s">
        <v>153</v>
      </c>
      <c r="B119" s="1">
        <v>45154</v>
      </c>
      <c r="C119" t="s">
        <v>12</v>
      </c>
      <c r="D119" t="s">
        <v>21</v>
      </c>
      <c r="E119" t="s">
        <v>46</v>
      </c>
      <c r="F119">
        <v>40548</v>
      </c>
      <c r="G119" t="s">
        <v>26</v>
      </c>
      <c r="H119" t="s">
        <v>36</v>
      </c>
      <c r="I119">
        <v>2</v>
      </c>
      <c r="J119" t="s">
        <v>18</v>
      </c>
      <c r="K119" t="s">
        <v>17</v>
      </c>
    </row>
    <row r="120" spans="1:11" x14ac:dyDescent="0.3">
      <c r="A120" t="s">
        <v>154</v>
      </c>
      <c r="B120" s="1">
        <v>45124</v>
      </c>
      <c r="C120" t="s">
        <v>24</v>
      </c>
      <c r="D120" t="s">
        <v>33</v>
      </c>
      <c r="E120" t="s">
        <v>12</v>
      </c>
      <c r="F120">
        <v>140557</v>
      </c>
      <c r="G120" t="s">
        <v>22</v>
      </c>
      <c r="H120" t="s">
        <v>36</v>
      </c>
      <c r="I120">
        <v>2</v>
      </c>
      <c r="J120" t="s">
        <v>18</v>
      </c>
      <c r="K120" t="s">
        <v>17</v>
      </c>
    </row>
    <row r="121" spans="1:11" x14ac:dyDescent="0.3">
      <c r="A121" t="s">
        <v>155</v>
      </c>
      <c r="B121" s="1">
        <v>45494</v>
      </c>
      <c r="C121" t="s">
        <v>20</v>
      </c>
      <c r="D121" t="s">
        <v>39</v>
      </c>
      <c r="E121" t="s">
        <v>14</v>
      </c>
      <c r="F121">
        <v>0</v>
      </c>
      <c r="G121" t="s">
        <v>22</v>
      </c>
      <c r="H121" t="s">
        <v>42</v>
      </c>
      <c r="I121">
        <v>4</v>
      </c>
      <c r="J121" t="s">
        <v>18</v>
      </c>
      <c r="K121" t="s">
        <v>17</v>
      </c>
    </row>
    <row r="122" spans="1:11" x14ac:dyDescent="0.3">
      <c r="A122" t="s">
        <v>156</v>
      </c>
      <c r="B122" s="1">
        <v>45586</v>
      </c>
      <c r="C122" t="s">
        <v>24</v>
      </c>
      <c r="D122" t="s">
        <v>21</v>
      </c>
      <c r="E122" t="s">
        <v>12</v>
      </c>
      <c r="F122">
        <v>119912</v>
      </c>
      <c r="G122" t="s">
        <v>22</v>
      </c>
      <c r="H122" t="s">
        <v>16</v>
      </c>
      <c r="I122">
        <v>2</v>
      </c>
      <c r="J122" t="s">
        <v>18</v>
      </c>
      <c r="K122" t="s">
        <v>17</v>
      </c>
    </row>
    <row r="123" spans="1:11" x14ac:dyDescent="0.3">
      <c r="A123" t="s">
        <v>157</v>
      </c>
      <c r="B123" s="1">
        <v>45025</v>
      </c>
      <c r="C123" t="s">
        <v>20</v>
      </c>
      <c r="D123" t="s">
        <v>13</v>
      </c>
      <c r="E123" t="s">
        <v>12</v>
      </c>
      <c r="F123">
        <v>139675</v>
      </c>
      <c r="G123" t="s">
        <v>30</v>
      </c>
      <c r="H123" t="s">
        <v>27</v>
      </c>
      <c r="I123">
        <v>0</v>
      </c>
      <c r="J123" t="s">
        <v>18</v>
      </c>
      <c r="K123" t="s">
        <v>17</v>
      </c>
    </row>
    <row r="124" spans="1:11" x14ac:dyDescent="0.3">
      <c r="A124" t="s">
        <v>158</v>
      </c>
      <c r="B124" s="1">
        <v>45014</v>
      </c>
      <c r="C124" t="s">
        <v>24</v>
      </c>
      <c r="D124" t="s">
        <v>41</v>
      </c>
      <c r="E124" t="s">
        <v>14</v>
      </c>
      <c r="F124">
        <v>0</v>
      </c>
      <c r="G124" t="s">
        <v>22</v>
      </c>
      <c r="H124" t="s">
        <v>27</v>
      </c>
      <c r="I124">
        <v>4</v>
      </c>
      <c r="J124" t="s">
        <v>18</v>
      </c>
      <c r="K124" t="s">
        <v>17</v>
      </c>
    </row>
    <row r="125" spans="1:11" x14ac:dyDescent="0.3">
      <c r="A125" t="s">
        <v>159</v>
      </c>
      <c r="B125" s="1">
        <v>45872</v>
      </c>
      <c r="C125" t="s">
        <v>20</v>
      </c>
      <c r="D125" t="s">
        <v>13</v>
      </c>
      <c r="E125" t="s">
        <v>12</v>
      </c>
      <c r="F125">
        <v>111026</v>
      </c>
      <c r="G125" t="s">
        <v>22</v>
      </c>
      <c r="H125" t="s">
        <v>36</v>
      </c>
      <c r="I125">
        <v>0</v>
      </c>
      <c r="J125" t="s">
        <v>18</v>
      </c>
      <c r="K125" t="s">
        <v>17</v>
      </c>
    </row>
    <row r="126" spans="1:11" x14ac:dyDescent="0.3">
      <c r="A126" t="s">
        <v>160</v>
      </c>
      <c r="B126" s="1">
        <v>45398</v>
      </c>
      <c r="C126" t="s">
        <v>12</v>
      </c>
      <c r="D126" t="s">
        <v>33</v>
      </c>
      <c r="E126" t="s">
        <v>46</v>
      </c>
      <c r="F126">
        <v>33929</v>
      </c>
      <c r="G126" t="s">
        <v>15</v>
      </c>
      <c r="H126" t="s">
        <v>31</v>
      </c>
      <c r="I126">
        <v>1</v>
      </c>
      <c r="J126" t="s">
        <v>18</v>
      </c>
      <c r="K126" t="s">
        <v>17</v>
      </c>
    </row>
    <row r="127" spans="1:11" x14ac:dyDescent="0.3">
      <c r="A127" t="s">
        <v>161</v>
      </c>
      <c r="B127" s="1">
        <v>45895</v>
      </c>
      <c r="C127" t="s">
        <v>24</v>
      </c>
      <c r="D127" t="s">
        <v>25</v>
      </c>
      <c r="E127" t="s">
        <v>29</v>
      </c>
      <c r="F127">
        <v>16211</v>
      </c>
      <c r="G127" t="s">
        <v>34</v>
      </c>
      <c r="H127" t="s">
        <v>42</v>
      </c>
      <c r="I127">
        <v>5</v>
      </c>
      <c r="J127" t="s">
        <v>17</v>
      </c>
      <c r="K127" t="s">
        <v>18</v>
      </c>
    </row>
    <row r="128" spans="1:11" x14ac:dyDescent="0.3">
      <c r="A128" t="s">
        <v>162</v>
      </c>
      <c r="B128" s="1">
        <v>45345</v>
      </c>
      <c r="C128" t="s">
        <v>12</v>
      </c>
      <c r="D128" t="s">
        <v>21</v>
      </c>
      <c r="E128" t="s">
        <v>46</v>
      </c>
      <c r="F128">
        <v>28023</v>
      </c>
      <c r="G128" t="s">
        <v>15</v>
      </c>
      <c r="H128" t="s">
        <v>42</v>
      </c>
      <c r="I128">
        <v>0</v>
      </c>
      <c r="J128" t="s">
        <v>18</v>
      </c>
      <c r="K128" t="s">
        <v>17</v>
      </c>
    </row>
    <row r="129" spans="1:11" x14ac:dyDescent="0.3">
      <c r="A129" t="s">
        <v>163</v>
      </c>
      <c r="B129" s="1">
        <v>45118</v>
      </c>
      <c r="C129" t="s">
        <v>20</v>
      </c>
      <c r="D129" t="s">
        <v>33</v>
      </c>
      <c r="E129" t="s">
        <v>46</v>
      </c>
      <c r="F129">
        <v>38035</v>
      </c>
      <c r="G129" t="s">
        <v>15</v>
      </c>
      <c r="H129" t="s">
        <v>31</v>
      </c>
      <c r="I129">
        <v>1</v>
      </c>
      <c r="J129" t="s">
        <v>18</v>
      </c>
      <c r="K129" t="s">
        <v>17</v>
      </c>
    </row>
    <row r="130" spans="1:11" x14ac:dyDescent="0.3">
      <c r="A130" t="s">
        <v>164</v>
      </c>
      <c r="B130" s="1">
        <v>45033</v>
      </c>
      <c r="C130" t="s">
        <v>24</v>
      </c>
      <c r="D130" t="s">
        <v>33</v>
      </c>
      <c r="E130" t="s">
        <v>12</v>
      </c>
      <c r="F130">
        <v>154272</v>
      </c>
      <c r="G130" t="s">
        <v>26</v>
      </c>
      <c r="H130" t="s">
        <v>42</v>
      </c>
      <c r="I130">
        <v>1</v>
      </c>
      <c r="J130" t="s">
        <v>17</v>
      </c>
      <c r="K130" t="s">
        <v>18</v>
      </c>
    </row>
    <row r="131" spans="1:11" x14ac:dyDescent="0.3">
      <c r="A131" t="s">
        <v>165</v>
      </c>
      <c r="B131" s="1">
        <v>45799</v>
      </c>
      <c r="C131" t="s">
        <v>20</v>
      </c>
      <c r="D131" t="s">
        <v>21</v>
      </c>
      <c r="E131" t="s">
        <v>46</v>
      </c>
      <c r="F131">
        <v>28865</v>
      </c>
      <c r="G131" t="s">
        <v>30</v>
      </c>
      <c r="H131" t="s">
        <v>16</v>
      </c>
      <c r="I131">
        <v>1</v>
      </c>
      <c r="J131" t="s">
        <v>18</v>
      </c>
      <c r="K131" t="s">
        <v>17</v>
      </c>
    </row>
    <row r="132" spans="1:11" x14ac:dyDescent="0.3">
      <c r="A132" t="s">
        <v>166</v>
      </c>
      <c r="B132" s="1">
        <v>44969</v>
      </c>
      <c r="C132" t="s">
        <v>12</v>
      </c>
      <c r="D132" t="s">
        <v>39</v>
      </c>
      <c r="E132" t="s">
        <v>12</v>
      </c>
      <c r="F132">
        <v>116666</v>
      </c>
      <c r="G132" t="s">
        <v>49</v>
      </c>
      <c r="H132" t="s">
        <v>36</v>
      </c>
      <c r="I132">
        <v>4</v>
      </c>
      <c r="J132" t="s">
        <v>18</v>
      </c>
      <c r="K132" t="s">
        <v>17</v>
      </c>
    </row>
    <row r="133" spans="1:11" x14ac:dyDescent="0.3">
      <c r="A133" t="s">
        <v>167</v>
      </c>
      <c r="B133" s="1">
        <v>45560</v>
      </c>
      <c r="C133" t="s">
        <v>12</v>
      </c>
      <c r="D133" t="s">
        <v>21</v>
      </c>
      <c r="E133" t="s">
        <v>14</v>
      </c>
      <c r="F133">
        <v>0</v>
      </c>
      <c r="G133" t="s">
        <v>30</v>
      </c>
      <c r="H133" t="s">
        <v>16</v>
      </c>
      <c r="I133">
        <v>1</v>
      </c>
      <c r="J133" t="s">
        <v>17</v>
      </c>
      <c r="K133" t="s">
        <v>18</v>
      </c>
    </row>
    <row r="134" spans="1:11" x14ac:dyDescent="0.3">
      <c r="A134" t="s">
        <v>168</v>
      </c>
      <c r="B134" s="1">
        <v>45205</v>
      </c>
      <c r="C134" t="s">
        <v>20</v>
      </c>
      <c r="D134" t="s">
        <v>13</v>
      </c>
      <c r="E134" t="s">
        <v>29</v>
      </c>
      <c r="F134">
        <v>17425</v>
      </c>
      <c r="G134" t="s">
        <v>34</v>
      </c>
      <c r="H134" t="s">
        <v>27</v>
      </c>
      <c r="I134">
        <v>2</v>
      </c>
      <c r="J134" t="s">
        <v>18</v>
      </c>
      <c r="K134" t="s">
        <v>17</v>
      </c>
    </row>
    <row r="135" spans="1:11" x14ac:dyDescent="0.3">
      <c r="A135" t="s">
        <v>169</v>
      </c>
      <c r="B135" s="1">
        <v>45569</v>
      </c>
      <c r="C135" t="s">
        <v>24</v>
      </c>
      <c r="D135" t="s">
        <v>21</v>
      </c>
      <c r="E135" t="s">
        <v>29</v>
      </c>
      <c r="F135">
        <v>16326</v>
      </c>
      <c r="G135" t="s">
        <v>49</v>
      </c>
      <c r="H135" t="s">
        <v>27</v>
      </c>
      <c r="I135">
        <v>2</v>
      </c>
      <c r="J135" t="s">
        <v>18</v>
      </c>
      <c r="K135" t="s">
        <v>17</v>
      </c>
    </row>
    <row r="136" spans="1:11" x14ac:dyDescent="0.3">
      <c r="A136" t="s">
        <v>170</v>
      </c>
      <c r="B136" s="1">
        <v>45641</v>
      </c>
      <c r="C136" t="s">
        <v>20</v>
      </c>
      <c r="D136" t="s">
        <v>39</v>
      </c>
      <c r="E136" t="s">
        <v>29</v>
      </c>
      <c r="F136">
        <v>15895</v>
      </c>
      <c r="G136" t="s">
        <v>22</v>
      </c>
      <c r="H136" t="s">
        <v>27</v>
      </c>
      <c r="I136">
        <v>3</v>
      </c>
      <c r="J136" t="s">
        <v>18</v>
      </c>
      <c r="K136" t="s">
        <v>17</v>
      </c>
    </row>
    <row r="137" spans="1:11" x14ac:dyDescent="0.3">
      <c r="A137" t="s">
        <v>171</v>
      </c>
      <c r="B137" s="1">
        <v>45561</v>
      </c>
      <c r="C137" t="s">
        <v>12</v>
      </c>
      <c r="D137" t="s">
        <v>39</v>
      </c>
      <c r="E137" t="s">
        <v>29</v>
      </c>
      <c r="F137">
        <v>16589</v>
      </c>
      <c r="G137" t="s">
        <v>49</v>
      </c>
      <c r="H137" t="s">
        <v>36</v>
      </c>
      <c r="I137">
        <v>4</v>
      </c>
      <c r="J137" t="s">
        <v>17</v>
      </c>
      <c r="K137" t="s">
        <v>18</v>
      </c>
    </row>
    <row r="138" spans="1:11" x14ac:dyDescent="0.3">
      <c r="A138" t="s">
        <v>172</v>
      </c>
      <c r="B138" s="1">
        <v>45425</v>
      </c>
      <c r="C138" t="s">
        <v>20</v>
      </c>
      <c r="D138" t="s">
        <v>41</v>
      </c>
      <c r="E138" t="s">
        <v>12</v>
      </c>
      <c r="F138">
        <v>171482</v>
      </c>
      <c r="G138" t="s">
        <v>15</v>
      </c>
      <c r="H138" t="s">
        <v>36</v>
      </c>
      <c r="I138">
        <v>0</v>
      </c>
      <c r="J138" t="s">
        <v>17</v>
      </c>
      <c r="K138" t="s">
        <v>18</v>
      </c>
    </row>
    <row r="139" spans="1:11" x14ac:dyDescent="0.3">
      <c r="A139" t="s">
        <v>173</v>
      </c>
      <c r="B139" s="1">
        <v>45558</v>
      </c>
      <c r="C139" t="s">
        <v>20</v>
      </c>
      <c r="D139" t="s">
        <v>21</v>
      </c>
      <c r="E139" t="s">
        <v>12</v>
      </c>
      <c r="F139">
        <v>202405</v>
      </c>
      <c r="G139" t="s">
        <v>15</v>
      </c>
      <c r="H139" t="s">
        <v>16</v>
      </c>
      <c r="I139">
        <v>1</v>
      </c>
      <c r="J139" t="s">
        <v>17</v>
      </c>
      <c r="K139" t="s">
        <v>18</v>
      </c>
    </row>
    <row r="140" spans="1:11" x14ac:dyDescent="0.3">
      <c r="A140" t="s">
        <v>174</v>
      </c>
      <c r="B140" s="1">
        <v>45255</v>
      </c>
      <c r="C140" t="s">
        <v>24</v>
      </c>
      <c r="D140" t="s">
        <v>25</v>
      </c>
      <c r="E140" t="s">
        <v>14</v>
      </c>
      <c r="F140">
        <v>0</v>
      </c>
      <c r="G140" t="s">
        <v>30</v>
      </c>
      <c r="H140" t="s">
        <v>31</v>
      </c>
      <c r="I140">
        <v>0</v>
      </c>
      <c r="J140" t="s">
        <v>18</v>
      </c>
      <c r="K140" t="s">
        <v>17</v>
      </c>
    </row>
    <row r="141" spans="1:11" x14ac:dyDescent="0.3">
      <c r="A141" t="s">
        <v>175</v>
      </c>
      <c r="B141" s="1">
        <v>45015</v>
      </c>
      <c r="C141" t="s">
        <v>12</v>
      </c>
      <c r="D141" t="s">
        <v>33</v>
      </c>
      <c r="E141" t="s">
        <v>29</v>
      </c>
      <c r="F141">
        <v>17092</v>
      </c>
      <c r="G141" t="s">
        <v>49</v>
      </c>
      <c r="H141" t="s">
        <v>31</v>
      </c>
      <c r="I141">
        <v>3</v>
      </c>
      <c r="J141" t="s">
        <v>18</v>
      </c>
      <c r="K141" t="s">
        <v>17</v>
      </c>
    </row>
    <row r="142" spans="1:11" x14ac:dyDescent="0.3">
      <c r="A142" t="s">
        <v>176</v>
      </c>
      <c r="B142" s="1">
        <v>45014</v>
      </c>
      <c r="C142" t="s">
        <v>24</v>
      </c>
      <c r="D142" t="s">
        <v>25</v>
      </c>
      <c r="E142" t="s">
        <v>29</v>
      </c>
      <c r="F142">
        <v>12004</v>
      </c>
      <c r="G142" t="s">
        <v>22</v>
      </c>
      <c r="H142" t="s">
        <v>42</v>
      </c>
      <c r="I142">
        <v>2</v>
      </c>
      <c r="J142" t="s">
        <v>18</v>
      </c>
      <c r="K142" t="s">
        <v>17</v>
      </c>
    </row>
    <row r="143" spans="1:11" x14ac:dyDescent="0.3">
      <c r="A143" t="s">
        <v>177</v>
      </c>
      <c r="B143" s="1">
        <v>45674</v>
      </c>
      <c r="C143" t="s">
        <v>20</v>
      </c>
      <c r="D143" t="s">
        <v>21</v>
      </c>
      <c r="E143" t="s">
        <v>46</v>
      </c>
      <c r="F143">
        <v>56570</v>
      </c>
      <c r="G143" t="s">
        <v>34</v>
      </c>
      <c r="H143" t="s">
        <v>16</v>
      </c>
      <c r="I143">
        <v>1</v>
      </c>
      <c r="J143" t="s">
        <v>18</v>
      </c>
      <c r="K143" t="s">
        <v>17</v>
      </c>
    </row>
    <row r="144" spans="1:11" x14ac:dyDescent="0.3">
      <c r="A144" t="s">
        <v>178</v>
      </c>
      <c r="B144" s="1">
        <v>45684</v>
      </c>
      <c r="C144" t="s">
        <v>24</v>
      </c>
      <c r="D144" t="s">
        <v>33</v>
      </c>
      <c r="E144" t="s">
        <v>46</v>
      </c>
      <c r="F144">
        <v>55185</v>
      </c>
      <c r="G144" t="s">
        <v>30</v>
      </c>
      <c r="H144" t="s">
        <v>27</v>
      </c>
      <c r="I144">
        <v>1</v>
      </c>
      <c r="J144" t="s">
        <v>18</v>
      </c>
      <c r="K144" t="s">
        <v>17</v>
      </c>
    </row>
    <row r="145" spans="1:11" x14ac:dyDescent="0.3">
      <c r="A145" t="s">
        <v>179</v>
      </c>
      <c r="B145" s="1">
        <v>45803</v>
      </c>
      <c r="C145" t="s">
        <v>20</v>
      </c>
      <c r="D145" t="s">
        <v>21</v>
      </c>
      <c r="E145" t="s">
        <v>12</v>
      </c>
      <c r="F145">
        <v>245440</v>
      </c>
      <c r="G145" t="s">
        <v>15</v>
      </c>
      <c r="H145" t="s">
        <v>36</v>
      </c>
      <c r="I145">
        <v>5</v>
      </c>
      <c r="J145" t="s">
        <v>17</v>
      </c>
      <c r="K145" t="s">
        <v>18</v>
      </c>
    </row>
    <row r="146" spans="1:11" x14ac:dyDescent="0.3">
      <c r="A146" t="s">
        <v>180</v>
      </c>
      <c r="B146" s="1">
        <v>45589</v>
      </c>
      <c r="C146" t="s">
        <v>12</v>
      </c>
      <c r="D146" t="s">
        <v>39</v>
      </c>
      <c r="E146" t="s">
        <v>29</v>
      </c>
      <c r="F146">
        <v>8768</v>
      </c>
      <c r="G146" t="s">
        <v>34</v>
      </c>
      <c r="H146" t="s">
        <v>31</v>
      </c>
      <c r="I146">
        <v>4</v>
      </c>
      <c r="J146" t="s">
        <v>18</v>
      </c>
      <c r="K146" t="s">
        <v>17</v>
      </c>
    </row>
    <row r="147" spans="1:11" x14ac:dyDescent="0.3">
      <c r="A147" t="s">
        <v>181</v>
      </c>
      <c r="B147" s="1">
        <v>45015</v>
      </c>
      <c r="C147" t="s">
        <v>24</v>
      </c>
      <c r="D147" t="s">
        <v>39</v>
      </c>
      <c r="E147" t="s">
        <v>29</v>
      </c>
      <c r="F147">
        <v>14883</v>
      </c>
      <c r="G147" t="s">
        <v>22</v>
      </c>
      <c r="H147" t="s">
        <v>36</v>
      </c>
      <c r="I147">
        <v>4</v>
      </c>
      <c r="J147" t="s">
        <v>18</v>
      </c>
      <c r="K147" t="s">
        <v>17</v>
      </c>
    </row>
    <row r="148" spans="1:11" x14ac:dyDescent="0.3">
      <c r="A148" t="s">
        <v>182</v>
      </c>
      <c r="B148" s="1">
        <v>45593</v>
      </c>
      <c r="C148" t="s">
        <v>20</v>
      </c>
      <c r="D148" t="s">
        <v>33</v>
      </c>
      <c r="E148" t="s">
        <v>46</v>
      </c>
      <c r="F148">
        <v>42852</v>
      </c>
      <c r="G148" t="s">
        <v>30</v>
      </c>
      <c r="H148" t="s">
        <v>31</v>
      </c>
      <c r="I148">
        <v>1</v>
      </c>
      <c r="J148" t="s">
        <v>17</v>
      </c>
      <c r="K148" t="s">
        <v>18</v>
      </c>
    </row>
    <row r="149" spans="1:11" x14ac:dyDescent="0.3">
      <c r="A149" t="s">
        <v>183</v>
      </c>
      <c r="B149" s="1">
        <v>45266</v>
      </c>
      <c r="C149" t="s">
        <v>12</v>
      </c>
      <c r="D149" t="s">
        <v>25</v>
      </c>
      <c r="E149" t="s">
        <v>46</v>
      </c>
      <c r="F149">
        <v>48427</v>
      </c>
      <c r="G149" t="s">
        <v>30</v>
      </c>
      <c r="H149" t="s">
        <v>42</v>
      </c>
      <c r="I149">
        <v>4</v>
      </c>
      <c r="J149" t="s">
        <v>18</v>
      </c>
      <c r="K149" t="s">
        <v>17</v>
      </c>
    </row>
    <row r="150" spans="1:11" x14ac:dyDescent="0.3">
      <c r="A150" t="s">
        <v>184</v>
      </c>
      <c r="B150" s="1">
        <v>45833</v>
      </c>
      <c r="C150" t="s">
        <v>12</v>
      </c>
      <c r="D150" t="s">
        <v>41</v>
      </c>
      <c r="E150" t="s">
        <v>29</v>
      </c>
      <c r="F150">
        <v>11502</v>
      </c>
      <c r="G150" t="s">
        <v>26</v>
      </c>
      <c r="H150" t="s">
        <v>42</v>
      </c>
      <c r="I150">
        <v>5</v>
      </c>
      <c r="J150" t="s">
        <v>18</v>
      </c>
      <c r="K150" t="s">
        <v>17</v>
      </c>
    </row>
    <row r="151" spans="1:11" x14ac:dyDescent="0.3">
      <c r="A151" t="s">
        <v>185</v>
      </c>
      <c r="B151" s="1">
        <v>45310</v>
      </c>
      <c r="C151" t="s">
        <v>24</v>
      </c>
      <c r="D151" t="s">
        <v>33</v>
      </c>
      <c r="E151" t="s">
        <v>46</v>
      </c>
      <c r="F151">
        <v>53792</v>
      </c>
      <c r="G151" t="s">
        <v>15</v>
      </c>
      <c r="H151" t="s">
        <v>36</v>
      </c>
      <c r="I151">
        <v>1</v>
      </c>
      <c r="J151" t="s">
        <v>18</v>
      </c>
      <c r="K151" t="s">
        <v>17</v>
      </c>
    </row>
    <row r="152" spans="1:11" x14ac:dyDescent="0.3">
      <c r="A152" t="s">
        <v>186</v>
      </c>
      <c r="B152" s="1">
        <v>45385</v>
      </c>
      <c r="C152" t="s">
        <v>12</v>
      </c>
      <c r="D152" t="s">
        <v>13</v>
      </c>
      <c r="E152" t="s">
        <v>46</v>
      </c>
      <c r="F152">
        <v>41157</v>
      </c>
      <c r="G152" t="s">
        <v>49</v>
      </c>
      <c r="H152" t="s">
        <v>31</v>
      </c>
      <c r="I152">
        <v>1</v>
      </c>
      <c r="J152" t="s">
        <v>18</v>
      </c>
      <c r="K152" t="s">
        <v>17</v>
      </c>
    </row>
    <row r="153" spans="1:11" x14ac:dyDescent="0.3">
      <c r="A153" t="s">
        <v>187</v>
      </c>
      <c r="B153" s="1">
        <v>44958</v>
      </c>
      <c r="C153" t="s">
        <v>12</v>
      </c>
      <c r="D153" t="s">
        <v>13</v>
      </c>
      <c r="E153" t="s">
        <v>29</v>
      </c>
      <c r="F153">
        <v>16398</v>
      </c>
      <c r="G153" t="s">
        <v>30</v>
      </c>
      <c r="H153" t="s">
        <v>42</v>
      </c>
      <c r="I153">
        <v>0</v>
      </c>
      <c r="J153" t="s">
        <v>18</v>
      </c>
      <c r="K153" t="s">
        <v>17</v>
      </c>
    </row>
    <row r="154" spans="1:11" x14ac:dyDescent="0.3">
      <c r="A154" t="s">
        <v>188</v>
      </c>
      <c r="B154" s="1">
        <v>44968</v>
      </c>
      <c r="C154" t="s">
        <v>24</v>
      </c>
      <c r="D154" t="s">
        <v>39</v>
      </c>
      <c r="E154" t="s">
        <v>12</v>
      </c>
      <c r="F154">
        <v>154555</v>
      </c>
      <c r="G154" t="s">
        <v>34</v>
      </c>
      <c r="H154" t="s">
        <v>16</v>
      </c>
      <c r="I154">
        <v>5</v>
      </c>
      <c r="J154" t="s">
        <v>18</v>
      </c>
      <c r="K154" t="s">
        <v>17</v>
      </c>
    </row>
    <row r="155" spans="1:11" x14ac:dyDescent="0.3">
      <c r="A155" t="s">
        <v>189</v>
      </c>
      <c r="B155" s="1">
        <v>45573</v>
      </c>
      <c r="C155" t="s">
        <v>24</v>
      </c>
      <c r="D155" t="s">
        <v>25</v>
      </c>
      <c r="E155" t="s">
        <v>46</v>
      </c>
      <c r="F155">
        <v>37298</v>
      </c>
      <c r="G155" t="s">
        <v>49</v>
      </c>
      <c r="H155" t="s">
        <v>36</v>
      </c>
      <c r="I155">
        <v>3</v>
      </c>
      <c r="J155" t="s">
        <v>18</v>
      </c>
      <c r="K155" t="s">
        <v>17</v>
      </c>
    </row>
    <row r="156" spans="1:11" x14ac:dyDescent="0.3">
      <c r="A156" t="s">
        <v>190</v>
      </c>
      <c r="B156" s="1">
        <v>45268</v>
      </c>
      <c r="C156" t="s">
        <v>24</v>
      </c>
      <c r="D156" t="s">
        <v>39</v>
      </c>
      <c r="E156" t="s">
        <v>14</v>
      </c>
      <c r="F156">
        <v>0</v>
      </c>
      <c r="G156" t="s">
        <v>15</v>
      </c>
      <c r="H156" t="s">
        <v>36</v>
      </c>
      <c r="I156">
        <v>4</v>
      </c>
      <c r="J156" t="s">
        <v>18</v>
      </c>
      <c r="K156" t="s">
        <v>17</v>
      </c>
    </row>
    <row r="157" spans="1:11" x14ac:dyDescent="0.3">
      <c r="A157" t="s">
        <v>191</v>
      </c>
      <c r="B157" s="1">
        <v>45826</v>
      </c>
      <c r="C157" t="s">
        <v>12</v>
      </c>
      <c r="D157" t="s">
        <v>25</v>
      </c>
      <c r="E157" t="s">
        <v>46</v>
      </c>
      <c r="F157">
        <v>53016</v>
      </c>
      <c r="G157" t="s">
        <v>34</v>
      </c>
      <c r="H157" t="s">
        <v>27</v>
      </c>
      <c r="I157">
        <v>4</v>
      </c>
      <c r="J157" t="s">
        <v>17</v>
      </c>
      <c r="K157" t="s">
        <v>18</v>
      </c>
    </row>
    <row r="158" spans="1:11" x14ac:dyDescent="0.3">
      <c r="A158" t="s">
        <v>192</v>
      </c>
      <c r="B158" s="1">
        <v>45265</v>
      </c>
      <c r="C158" t="s">
        <v>20</v>
      </c>
      <c r="D158" t="s">
        <v>13</v>
      </c>
      <c r="E158" t="s">
        <v>12</v>
      </c>
      <c r="F158">
        <v>224076</v>
      </c>
      <c r="G158" t="s">
        <v>49</v>
      </c>
      <c r="H158" t="s">
        <v>16</v>
      </c>
      <c r="I158">
        <v>0</v>
      </c>
      <c r="J158" t="s">
        <v>18</v>
      </c>
      <c r="K158" t="s">
        <v>17</v>
      </c>
    </row>
    <row r="159" spans="1:11" x14ac:dyDescent="0.3">
      <c r="A159" t="s">
        <v>193</v>
      </c>
      <c r="B159" s="1">
        <v>44951</v>
      </c>
      <c r="C159" t="s">
        <v>20</v>
      </c>
      <c r="D159" t="s">
        <v>39</v>
      </c>
      <c r="E159" t="s">
        <v>29</v>
      </c>
      <c r="F159">
        <v>14307</v>
      </c>
      <c r="G159" t="s">
        <v>22</v>
      </c>
      <c r="H159" t="s">
        <v>42</v>
      </c>
      <c r="I159">
        <v>5</v>
      </c>
      <c r="J159" t="s">
        <v>18</v>
      </c>
      <c r="K159" t="s">
        <v>17</v>
      </c>
    </row>
    <row r="160" spans="1:11" x14ac:dyDescent="0.3">
      <c r="A160" t="s">
        <v>194</v>
      </c>
      <c r="B160" s="1">
        <v>45547</v>
      </c>
      <c r="C160" t="s">
        <v>12</v>
      </c>
      <c r="D160" t="s">
        <v>21</v>
      </c>
      <c r="E160" t="s">
        <v>12</v>
      </c>
      <c r="F160">
        <v>158557</v>
      </c>
      <c r="G160" t="s">
        <v>30</v>
      </c>
      <c r="H160" t="s">
        <v>16</v>
      </c>
      <c r="I160">
        <v>4</v>
      </c>
      <c r="J160" t="s">
        <v>18</v>
      </c>
      <c r="K160" t="s">
        <v>17</v>
      </c>
    </row>
    <row r="161" spans="1:11" x14ac:dyDescent="0.3">
      <c r="A161" t="s">
        <v>195</v>
      </c>
      <c r="B161" s="1">
        <v>45825</v>
      </c>
      <c r="C161" t="s">
        <v>20</v>
      </c>
      <c r="D161" t="s">
        <v>39</v>
      </c>
      <c r="E161" t="s">
        <v>14</v>
      </c>
      <c r="F161">
        <v>0</v>
      </c>
      <c r="G161" t="s">
        <v>26</v>
      </c>
      <c r="H161" t="s">
        <v>31</v>
      </c>
      <c r="I161">
        <v>5</v>
      </c>
      <c r="J161" t="s">
        <v>18</v>
      </c>
      <c r="K161" t="s">
        <v>17</v>
      </c>
    </row>
    <row r="162" spans="1:11" x14ac:dyDescent="0.3">
      <c r="A162" t="s">
        <v>196</v>
      </c>
      <c r="B162" s="1">
        <v>45045</v>
      </c>
      <c r="C162" t="s">
        <v>24</v>
      </c>
      <c r="D162" t="s">
        <v>25</v>
      </c>
      <c r="E162" t="s">
        <v>29</v>
      </c>
      <c r="F162">
        <v>7302</v>
      </c>
      <c r="G162" t="s">
        <v>26</v>
      </c>
      <c r="H162" t="s">
        <v>36</v>
      </c>
      <c r="I162">
        <v>4</v>
      </c>
      <c r="J162" t="s">
        <v>17</v>
      </c>
      <c r="K162" t="s">
        <v>18</v>
      </c>
    </row>
    <row r="163" spans="1:11" x14ac:dyDescent="0.3">
      <c r="A163" t="s">
        <v>197</v>
      </c>
      <c r="B163" s="1">
        <v>45801</v>
      </c>
      <c r="C163" t="s">
        <v>20</v>
      </c>
      <c r="D163" t="s">
        <v>13</v>
      </c>
      <c r="E163" t="s">
        <v>12</v>
      </c>
      <c r="F163">
        <v>163140</v>
      </c>
      <c r="G163" t="s">
        <v>22</v>
      </c>
      <c r="H163" t="s">
        <v>42</v>
      </c>
      <c r="I163">
        <v>0</v>
      </c>
      <c r="J163" t="s">
        <v>18</v>
      </c>
      <c r="K163" t="s">
        <v>17</v>
      </c>
    </row>
    <row r="164" spans="1:11" x14ac:dyDescent="0.3">
      <c r="A164" t="s">
        <v>198</v>
      </c>
      <c r="B164" s="1">
        <v>45792</v>
      </c>
      <c r="C164" t="s">
        <v>20</v>
      </c>
      <c r="D164" t="s">
        <v>39</v>
      </c>
      <c r="E164" t="s">
        <v>29</v>
      </c>
      <c r="F164">
        <v>15475</v>
      </c>
      <c r="G164" t="s">
        <v>15</v>
      </c>
      <c r="H164" t="s">
        <v>36</v>
      </c>
      <c r="I164">
        <v>3</v>
      </c>
      <c r="J164" t="s">
        <v>18</v>
      </c>
      <c r="K164" t="s">
        <v>17</v>
      </c>
    </row>
    <row r="165" spans="1:11" x14ac:dyDescent="0.3">
      <c r="A165" t="s">
        <v>199</v>
      </c>
      <c r="B165" s="1">
        <v>45081</v>
      </c>
      <c r="C165" t="s">
        <v>20</v>
      </c>
      <c r="D165" t="s">
        <v>25</v>
      </c>
      <c r="E165" t="s">
        <v>12</v>
      </c>
      <c r="F165">
        <v>113057</v>
      </c>
      <c r="G165" t="s">
        <v>34</v>
      </c>
      <c r="H165" t="s">
        <v>31</v>
      </c>
      <c r="I165">
        <v>2</v>
      </c>
      <c r="J165" t="s">
        <v>17</v>
      </c>
      <c r="K165" t="s">
        <v>18</v>
      </c>
    </row>
    <row r="166" spans="1:11" x14ac:dyDescent="0.3">
      <c r="A166" t="s">
        <v>200</v>
      </c>
      <c r="B166" s="1">
        <v>45213</v>
      </c>
      <c r="C166" t="s">
        <v>12</v>
      </c>
      <c r="D166" t="s">
        <v>13</v>
      </c>
      <c r="E166" t="s">
        <v>46</v>
      </c>
      <c r="F166">
        <v>46413</v>
      </c>
      <c r="G166" t="s">
        <v>26</v>
      </c>
      <c r="H166" t="s">
        <v>16</v>
      </c>
      <c r="I166">
        <v>2</v>
      </c>
      <c r="J166" t="s">
        <v>18</v>
      </c>
      <c r="K166" t="s">
        <v>17</v>
      </c>
    </row>
    <row r="167" spans="1:11" x14ac:dyDescent="0.3">
      <c r="A167" t="s">
        <v>201</v>
      </c>
      <c r="B167" s="1">
        <v>45594</v>
      </c>
      <c r="C167" t="s">
        <v>12</v>
      </c>
      <c r="D167" t="s">
        <v>21</v>
      </c>
      <c r="E167" t="s">
        <v>29</v>
      </c>
      <c r="F167">
        <v>11012</v>
      </c>
      <c r="G167" t="s">
        <v>22</v>
      </c>
      <c r="H167" t="s">
        <v>36</v>
      </c>
      <c r="I167">
        <v>3</v>
      </c>
      <c r="J167" t="s">
        <v>18</v>
      </c>
      <c r="K167" t="s">
        <v>17</v>
      </c>
    </row>
    <row r="168" spans="1:11" x14ac:dyDescent="0.3">
      <c r="A168" t="s">
        <v>202</v>
      </c>
      <c r="B168" s="1">
        <v>44942</v>
      </c>
      <c r="C168" t="s">
        <v>12</v>
      </c>
      <c r="D168" t="s">
        <v>33</v>
      </c>
      <c r="E168" t="s">
        <v>14</v>
      </c>
      <c r="F168">
        <v>0</v>
      </c>
      <c r="G168" t="s">
        <v>26</v>
      </c>
      <c r="H168" t="s">
        <v>27</v>
      </c>
      <c r="I168">
        <v>3</v>
      </c>
      <c r="J168" t="s">
        <v>17</v>
      </c>
      <c r="K168" t="s">
        <v>18</v>
      </c>
    </row>
    <row r="169" spans="1:11" x14ac:dyDescent="0.3">
      <c r="A169" t="s">
        <v>203</v>
      </c>
      <c r="B169" s="1">
        <v>45684</v>
      </c>
      <c r="C169" t="s">
        <v>20</v>
      </c>
      <c r="D169" t="s">
        <v>39</v>
      </c>
      <c r="E169" t="s">
        <v>14</v>
      </c>
      <c r="F169">
        <v>0</v>
      </c>
      <c r="G169" t="s">
        <v>30</v>
      </c>
      <c r="H169" t="s">
        <v>36</v>
      </c>
      <c r="I169">
        <v>2</v>
      </c>
      <c r="J169" t="s">
        <v>18</v>
      </c>
      <c r="K169" t="s">
        <v>17</v>
      </c>
    </row>
    <row r="170" spans="1:11" x14ac:dyDescent="0.3">
      <c r="A170" t="s">
        <v>204</v>
      </c>
      <c r="B170" s="1">
        <v>44988</v>
      </c>
      <c r="C170" t="s">
        <v>20</v>
      </c>
      <c r="D170" t="s">
        <v>21</v>
      </c>
      <c r="E170" t="s">
        <v>14</v>
      </c>
      <c r="F170">
        <v>0</v>
      </c>
      <c r="G170" t="s">
        <v>26</v>
      </c>
      <c r="H170" t="s">
        <v>16</v>
      </c>
      <c r="I170">
        <v>2</v>
      </c>
      <c r="J170" t="s">
        <v>18</v>
      </c>
      <c r="K170" t="s">
        <v>17</v>
      </c>
    </row>
    <row r="171" spans="1:11" x14ac:dyDescent="0.3">
      <c r="A171" t="s">
        <v>205</v>
      </c>
      <c r="B171" s="1">
        <v>45906</v>
      </c>
      <c r="C171" t="s">
        <v>24</v>
      </c>
      <c r="D171" t="s">
        <v>25</v>
      </c>
      <c r="E171" t="s">
        <v>46</v>
      </c>
      <c r="F171">
        <v>40030</v>
      </c>
      <c r="G171" t="s">
        <v>34</v>
      </c>
      <c r="H171" t="s">
        <v>31</v>
      </c>
      <c r="I171">
        <v>4</v>
      </c>
      <c r="J171" t="s">
        <v>18</v>
      </c>
      <c r="K171" t="s">
        <v>17</v>
      </c>
    </row>
    <row r="172" spans="1:11" x14ac:dyDescent="0.3">
      <c r="A172" t="s">
        <v>206</v>
      </c>
      <c r="B172" s="1">
        <v>45734</v>
      </c>
      <c r="C172" t="s">
        <v>24</v>
      </c>
      <c r="D172" t="s">
        <v>25</v>
      </c>
      <c r="E172" t="s">
        <v>14</v>
      </c>
      <c r="F172">
        <v>0</v>
      </c>
      <c r="G172" t="s">
        <v>30</v>
      </c>
      <c r="H172" t="s">
        <v>16</v>
      </c>
      <c r="I172">
        <v>3</v>
      </c>
      <c r="J172" t="s">
        <v>18</v>
      </c>
      <c r="K172" t="s">
        <v>17</v>
      </c>
    </row>
    <row r="173" spans="1:11" x14ac:dyDescent="0.3">
      <c r="A173" t="s">
        <v>207</v>
      </c>
      <c r="B173" s="1">
        <v>45392</v>
      </c>
      <c r="C173" t="s">
        <v>20</v>
      </c>
      <c r="D173" t="s">
        <v>39</v>
      </c>
      <c r="E173" t="s">
        <v>14</v>
      </c>
      <c r="F173">
        <v>0</v>
      </c>
      <c r="G173" t="s">
        <v>15</v>
      </c>
      <c r="H173" t="s">
        <v>36</v>
      </c>
      <c r="I173">
        <v>2</v>
      </c>
      <c r="J173" t="s">
        <v>18</v>
      </c>
      <c r="K173" t="s">
        <v>17</v>
      </c>
    </row>
    <row r="174" spans="1:11" x14ac:dyDescent="0.3">
      <c r="A174" t="s">
        <v>208</v>
      </c>
      <c r="B174" s="1">
        <v>45527</v>
      </c>
      <c r="C174" t="s">
        <v>12</v>
      </c>
      <c r="D174" t="s">
        <v>41</v>
      </c>
      <c r="E174" t="s">
        <v>46</v>
      </c>
      <c r="F174">
        <v>38139</v>
      </c>
      <c r="G174" t="s">
        <v>22</v>
      </c>
      <c r="H174" t="s">
        <v>42</v>
      </c>
      <c r="I174">
        <v>5</v>
      </c>
      <c r="J174" t="s">
        <v>18</v>
      </c>
      <c r="K174" t="s">
        <v>17</v>
      </c>
    </row>
    <row r="175" spans="1:11" x14ac:dyDescent="0.3">
      <c r="A175" t="s">
        <v>209</v>
      </c>
      <c r="B175" s="1">
        <v>45510</v>
      </c>
      <c r="C175" t="s">
        <v>20</v>
      </c>
      <c r="D175" t="s">
        <v>41</v>
      </c>
      <c r="E175" t="s">
        <v>14</v>
      </c>
      <c r="F175">
        <v>0</v>
      </c>
      <c r="G175" t="s">
        <v>15</v>
      </c>
      <c r="H175" t="s">
        <v>16</v>
      </c>
      <c r="I175">
        <v>0</v>
      </c>
      <c r="J175" t="s">
        <v>18</v>
      </c>
      <c r="K175" t="s">
        <v>17</v>
      </c>
    </row>
    <row r="176" spans="1:11" x14ac:dyDescent="0.3">
      <c r="A176" t="s">
        <v>210</v>
      </c>
      <c r="B176" s="1">
        <v>45556</v>
      </c>
      <c r="C176" t="s">
        <v>12</v>
      </c>
      <c r="D176" t="s">
        <v>33</v>
      </c>
      <c r="E176" t="s">
        <v>14</v>
      </c>
      <c r="F176">
        <v>0</v>
      </c>
      <c r="G176" t="s">
        <v>15</v>
      </c>
      <c r="H176" t="s">
        <v>16</v>
      </c>
      <c r="I176">
        <v>4</v>
      </c>
      <c r="J176" t="s">
        <v>18</v>
      </c>
      <c r="K176" t="s">
        <v>17</v>
      </c>
    </row>
    <row r="177" spans="1:11" x14ac:dyDescent="0.3">
      <c r="A177" t="s">
        <v>211</v>
      </c>
      <c r="B177" s="1">
        <v>45857</v>
      </c>
      <c r="C177" t="s">
        <v>20</v>
      </c>
      <c r="D177" t="s">
        <v>25</v>
      </c>
      <c r="E177" t="s">
        <v>29</v>
      </c>
      <c r="F177">
        <v>17562</v>
      </c>
      <c r="G177" t="s">
        <v>49</v>
      </c>
      <c r="H177" t="s">
        <v>16</v>
      </c>
      <c r="I177">
        <v>3</v>
      </c>
      <c r="J177" t="s">
        <v>17</v>
      </c>
      <c r="K177" t="s">
        <v>18</v>
      </c>
    </row>
    <row r="178" spans="1:11" x14ac:dyDescent="0.3">
      <c r="A178" t="s">
        <v>212</v>
      </c>
      <c r="B178" s="1">
        <v>45168</v>
      </c>
      <c r="C178" t="s">
        <v>20</v>
      </c>
      <c r="D178" t="s">
        <v>39</v>
      </c>
      <c r="E178" t="s">
        <v>12</v>
      </c>
      <c r="F178">
        <v>238231</v>
      </c>
      <c r="G178" t="s">
        <v>34</v>
      </c>
      <c r="H178" t="s">
        <v>27</v>
      </c>
      <c r="I178">
        <v>1</v>
      </c>
      <c r="J178" t="s">
        <v>18</v>
      </c>
      <c r="K178" t="s">
        <v>17</v>
      </c>
    </row>
    <row r="179" spans="1:11" x14ac:dyDescent="0.3">
      <c r="A179" t="s">
        <v>213</v>
      </c>
      <c r="B179" s="1">
        <v>45846</v>
      </c>
      <c r="C179" t="s">
        <v>12</v>
      </c>
      <c r="D179" t="s">
        <v>13</v>
      </c>
      <c r="E179" t="s">
        <v>46</v>
      </c>
      <c r="F179">
        <v>44448</v>
      </c>
      <c r="G179" t="s">
        <v>22</v>
      </c>
      <c r="H179" t="s">
        <v>42</v>
      </c>
      <c r="I179">
        <v>4</v>
      </c>
      <c r="J179" t="s">
        <v>18</v>
      </c>
      <c r="K179" t="s">
        <v>17</v>
      </c>
    </row>
    <row r="180" spans="1:11" x14ac:dyDescent="0.3">
      <c r="A180" t="s">
        <v>214</v>
      </c>
      <c r="B180" s="1">
        <v>45198</v>
      </c>
      <c r="C180" t="s">
        <v>24</v>
      </c>
      <c r="D180" t="s">
        <v>33</v>
      </c>
      <c r="E180" t="s">
        <v>14</v>
      </c>
      <c r="F180">
        <v>0</v>
      </c>
      <c r="G180" t="s">
        <v>15</v>
      </c>
      <c r="H180" t="s">
        <v>42</v>
      </c>
      <c r="I180">
        <v>5</v>
      </c>
      <c r="J180" t="s">
        <v>18</v>
      </c>
      <c r="K180" t="s">
        <v>17</v>
      </c>
    </row>
    <row r="181" spans="1:11" x14ac:dyDescent="0.3">
      <c r="A181" t="s">
        <v>215</v>
      </c>
      <c r="B181" s="1">
        <v>45320</v>
      </c>
      <c r="C181" t="s">
        <v>12</v>
      </c>
      <c r="D181" t="s">
        <v>33</v>
      </c>
      <c r="E181" t="s">
        <v>12</v>
      </c>
      <c r="F181">
        <v>231488</v>
      </c>
      <c r="G181" t="s">
        <v>22</v>
      </c>
      <c r="H181" t="s">
        <v>36</v>
      </c>
      <c r="I181">
        <v>3</v>
      </c>
      <c r="J181" t="s">
        <v>18</v>
      </c>
      <c r="K181" t="s">
        <v>17</v>
      </c>
    </row>
    <row r="182" spans="1:11" x14ac:dyDescent="0.3">
      <c r="A182" t="s">
        <v>216</v>
      </c>
      <c r="B182" s="1">
        <v>45816</v>
      </c>
      <c r="C182" t="s">
        <v>20</v>
      </c>
      <c r="D182" t="s">
        <v>21</v>
      </c>
      <c r="E182" t="s">
        <v>46</v>
      </c>
      <c r="F182">
        <v>28291</v>
      </c>
      <c r="G182" t="s">
        <v>30</v>
      </c>
      <c r="H182" t="s">
        <v>27</v>
      </c>
      <c r="I182">
        <v>0</v>
      </c>
      <c r="J182" t="s">
        <v>18</v>
      </c>
      <c r="K182" t="s">
        <v>17</v>
      </c>
    </row>
    <row r="183" spans="1:11" x14ac:dyDescent="0.3">
      <c r="A183" t="s">
        <v>217</v>
      </c>
      <c r="B183" s="1">
        <v>45614</v>
      </c>
      <c r="C183" t="s">
        <v>20</v>
      </c>
      <c r="D183" t="s">
        <v>25</v>
      </c>
      <c r="E183" t="s">
        <v>14</v>
      </c>
      <c r="F183">
        <v>0</v>
      </c>
      <c r="G183" t="s">
        <v>22</v>
      </c>
      <c r="H183" t="s">
        <v>31</v>
      </c>
      <c r="I183">
        <v>5</v>
      </c>
      <c r="J183" t="s">
        <v>18</v>
      </c>
      <c r="K183" t="s">
        <v>17</v>
      </c>
    </row>
    <row r="184" spans="1:11" x14ac:dyDescent="0.3">
      <c r="A184" t="s">
        <v>218</v>
      </c>
      <c r="B184" s="1">
        <v>45708</v>
      </c>
      <c r="C184" t="s">
        <v>12</v>
      </c>
      <c r="D184" t="s">
        <v>13</v>
      </c>
      <c r="E184" t="s">
        <v>46</v>
      </c>
      <c r="F184">
        <v>45039</v>
      </c>
      <c r="G184" t="s">
        <v>30</v>
      </c>
      <c r="H184" t="s">
        <v>42</v>
      </c>
      <c r="I184">
        <v>4</v>
      </c>
      <c r="J184" t="s">
        <v>17</v>
      </c>
      <c r="K184" t="s">
        <v>18</v>
      </c>
    </row>
    <row r="185" spans="1:11" x14ac:dyDescent="0.3">
      <c r="A185" t="s">
        <v>219</v>
      </c>
      <c r="B185" s="1">
        <v>45639</v>
      </c>
      <c r="C185" t="s">
        <v>24</v>
      </c>
      <c r="D185" t="s">
        <v>13</v>
      </c>
      <c r="E185" t="s">
        <v>14</v>
      </c>
      <c r="F185">
        <v>0</v>
      </c>
      <c r="G185" t="s">
        <v>49</v>
      </c>
      <c r="H185" t="s">
        <v>31</v>
      </c>
      <c r="I185">
        <v>3</v>
      </c>
      <c r="J185" t="s">
        <v>18</v>
      </c>
      <c r="K185" t="s">
        <v>17</v>
      </c>
    </row>
    <row r="186" spans="1:11" x14ac:dyDescent="0.3">
      <c r="A186" t="s">
        <v>220</v>
      </c>
      <c r="B186" s="1">
        <v>45582</v>
      </c>
      <c r="C186" t="s">
        <v>20</v>
      </c>
      <c r="D186" t="s">
        <v>33</v>
      </c>
      <c r="E186" t="s">
        <v>14</v>
      </c>
      <c r="F186">
        <v>0</v>
      </c>
      <c r="G186" t="s">
        <v>30</v>
      </c>
      <c r="H186" t="s">
        <v>16</v>
      </c>
      <c r="I186">
        <v>1</v>
      </c>
      <c r="J186" t="s">
        <v>17</v>
      </c>
      <c r="K186" t="s">
        <v>18</v>
      </c>
    </row>
    <row r="187" spans="1:11" x14ac:dyDescent="0.3">
      <c r="A187" t="s">
        <v>221</v>
      </c>
      <c r="B187" s="1">
        <v>45774</v>
      </c>
      <c r="C187" t="s">
        <v>20</v>
      </c>
      <c r="D187" t="s">
        <v>21</v>
      </c>
      <c r="E187" t="s">
        <v>46</v>
      </c>
      <c r="F187">
        <v>52321</v>
      </c>
      <c r="G187" t="s">
        <v>22</v>
      </c>
      <c r="H187" t="s">
        <v>42</v>
      </c>
      <c r="I187">
        <v>5</v>
      </c>
      <c r="J187" t="s">
        <v>17</v>
      </c>
      <c r="K187" t="s">
        <v>18</v>
      </c>
    </row>
    <row r="188" spans="1:11" x14ac:dyDescent="0.3">
      <c r="A188" t="s">
        <v>222</v>
      </c>
      <c r="B188" s="1">
        <v>45336</v>
      </c>
      <c r="C188" t="s">
        <v>24</v>
      </c>
      <c r="D188" t="s">
        <v>41</v>
      </c>
      <c r="E188" t="s">
        <v>14</v>
      </c>
      <c r="F188">
        <v>0</v>
      </c>
      <c r="G188" t="s">
        <v>30</v>
      </c>
      <c r="H188" t="s">
        <v>27</v>
      </c>
      <c r="I188">
        <v>5</v>
      </c>
      <c r="J188" t="s">
        <v>17</v>
      </c>
      <c r="K188" t="s">
        <v>18</v>
      </c>
    </row>
    <row r="189" spans="1:11" x14ac:dyDescent="0.3">
      <c r="A189" t="s">
        <v>223</v>
      </c>
      <c r="B189" s="1">
        <v>44961</v>
      </c>
      <c r="C189" t="s">
        <v>12</v>
      </c>
      <c r="D189" t="s">
        <v>21</v>
      </c>
      <c r="E189" t="s">
        <v>14</v>
      </c>
      <c r="F189">
        <v>0</v>
      </c>
      <c r="G189" t="s">
        <v>22</v>
      </c>
      <c r="H189" t="s">
        <v>42</v>
      </c>
      <c r="I189">
        <v>3</v>
      </c>
      <c r="J189" t="s">
        <v>17</v>
      </c>
      <c r="K189" t="s">
        <v>18</v>
      </c>
    </row>
    <row r="190" spans="1:11" x14ac:dyDescent="0.3">
      <c r="A190" t="s">
        <v>224</v>
      </c>
      <c r="B190" s="1">
        <v>45788</v>
      </c>
      <c r="C190" t="s">
        <v>24</v>
      </c>
      <c r="D190" t="s">
        <v>41</v>
      </c>
      <c r="E190" t="s">
        <v>12</v>
      </c>
      <c r="F190">
        <v>155824</v>
      </c>
      <c r="G190" t="s">
        <v>30</v>
      </c>
      <c r="H190" t="s">
        <v>16</v>
      </c>
      <c r="I190">
        <v>3</v>
      </c>
      <c r="J190" t="s">
        <v>18</v>
      </c>
      <c r="K190" t="s">
        <v>17</v>
      </c>
    </row>
    <row r="191" spans="1:11" x14ac:dyDescent="0.3">
      <c r="A191" t="s">
        <v>225</v>
      </c>
      <c r="B191" s="1">
        <v>45711</v>
      </c>
      <c r="C191" t="s">
        <v>12</v>
      </c>
      <c r="D191" t="s">
        <v>41</v>
      </c>
      <c r="E191" t="s">
        <v>14</v>
      </c>
      <c r="F191">
        <v>0</v>
      </c>
      <c r="G191" t="s">
        <v>22</v>
      </c>
      <c r="H191" t="s">
        <v>42</v>
      </c>
      <c r="I191">
        <v>1</v>
      </c>
      <c r="J191" t="s">
        <v>18</v>
      </c>
      <c r="K191" t="s">
        <v>17</v>
      </c>
    </row>
    <row r="192" spans="1:11" x14ac:dyDescent="0.3">
      <c r="A192" t="s">
        <v>226</v>
      </c>
      <c r="B192" s="1">
        <v>45704</v>
      </c>
      <c r="C192" t="s">
        <v>12</v>
      </c>
      <c r="D192" t="s">
        <v>39</v>
      </c>
      <c r="E192" t="s">
        <v>46</v>
      </c>
      <c r="F192">
        <v>49639</v>
      </c>
      <c r="G192" t="s">
        <v>34</v>
      </c>
      <c r="H192" t="s">
        <v>27</v>
      </c>
      <c r="I192">
        <v>0</v>
      </c>
      <c r="J192" t="s">
        <v>18</v>
      </c>
      <c r="K192" t="s">
        <v>17</v>
      </c>
    </row>
    <row r="193" spans="1:11" x14ac:dyDescent="0.3">
      <c r="A193" t="s">
        <v>227</v>
      </c>
      <c r="B193" s="1">
        <v>45803</v>
      </c>
      <c r="C193" t="s">
        <v>12</v>
      </c>
      <c r="D193" t="s">
        <v>13</v>
      </c>
      <c r="E193" t="s">
        <v>12</v>
      </c>
      <c r="F193">
        <v>168988</v>
      </c>
      <c r="G193" t="s">
        <v>30</v>
      </c>
      <c r="H193" t="s">
        <v>42</v>
      </c>
      <c r="I193">
        <v>4</v>
      </c>
      <c r="J193" t="s">
        <v>18</v>
      </c>
      <c r="K193" t="s">
        <v>17</v>
      </c>
    </row>
    <row r="194" spans="1:11" x14ac:dyDescent="0.3">
      <c r="A194" t="s">
        <v>228</v>
      </c>
      <c r="B194" s="1">
        <v>45693</v>
      </c>
      <c r="C194" t="s">
        <v>20</v>
      </c>
      <c r="D194" t="s">
        <v>25</v>
      </c>
      <c r="E194" t="s">
        <v>29</v>
      </c>
      <c r="F194">
        <v>11044</v>
      </c>
      <c r="G194" t="s">
        <v>26</v>
      </c>
      <c r="H194" t="s">
        <v>36</v>
      </c>
      <c r="I194">
        <v>4</v>
      </c>
      <c r="J194" t="s">
        <v>18</v>
      </c>
      <c r="K194" t="s">
        <v>17</v>
      </c>
    </row>
    <row r="195" spans="1:11" x14ac:dyDescent="0.3">
      <c r="A195" t="s">
        <v>229</v>
      </c>
      <c r="B195" s="1">
        <v>45076</v>
      </c>
      <c r="C195" t="s">
        <v>20</v>
      </c>
      <c r="D195" t="s">
        <v>21</v>
      </c>
      <c r="E195" t="s">
        <v>14</v>
      </c>
      <c r="F195">
        <v>0</v>
      </c>
      <c r="G195" t="s">
        <v>30</v>
      </c>
      <c r="H195" t="s">
        <v>16</v>
      </c>
      <c r="I195">
        <v>4</v>
      </c>
      <c r="J195" t="s">
        <v>17</v>
      </c>
      <c r="K195" t="s">
        <v>18</v>
      </c>
    </row>
    <row r="196" spans="1:11" x14ac:dyDescent="0.3">
      <c r="A196" t="s">
        <v>230</v>
      </c>
      <c r="B196" s="1">
        <v>44956</v>
      </c>
      <c r="C196" t="s">
        <v>24</v>
      </c>
      <c r="D196" t="s">
        <v>41</v>
      </c>
      <c r="E196" t="s">
        <v>46</v>
      </c>
      <c r="F196">
        <v>32036</v>
      </c>
      <c r="G196" t="s">
        <v>49</v>
      </c>
      <c r="H196" t="s">
        <v>16</v>
      </c>
      <c r="I196">
        <v>1</v>
      </c>
      <c r="J196" t="s">
        <v>18</v>
      </c>
      <c r="K196" t="s">
        <v>17</v>
      </c>
    </row>
    <row r="197" spans="1:11" x14ac:dyDescent="0.3">
      <c r="A197" t="s">
        <v>231</v>
      </c>
      <c r="B197" s="1">
        <v>45829</v>
      </c>
      <c r="C197" t="s">
        <v>12</v>
      </c>
      <c r="D197" t="s">
        <v>13</v>
      </c>
      <c r="E197" t="s">
        <v>14</v>
      </c>
      <c r="F197">
        <v>0</v>
      </c>
      <c r="G197" t="s">
        <v>26</v>
      </c>
      <c r="H197" t="s">
        <v>16</v>
      </c>
      <c r="I197">
        <v>3</v>
      </c>
      <c r="J197" t="s">
        <v>18</v>
      </c>
      <c r="K197" t="s">
        <v>17</v>
      </c>
    </row>
    <row r="198" spans="1:11" x14ac:dyDescent="0.3">
      <c r="A198" t="s">
        <v>232</v>
      </c>
      <c r="B198" s="1">
        <v>45462</v>
      </c>
      <c r="C198" t="s">
        <v>24</v>
      </c>
      <c r="D198" t="s">
        <v>21</v>
      </c>
      <c r="E198" t="s">
        <v>14</v>
      </c>
      <c r="F198">
        <v>0</v>
      </c>
      <c r="G198" t="s">
        <v>26</v>
      </c>
      <c r="H198" t="s">
        <v>42</v>
      </c>
      <c r="I198">
        <v>5</v>
      </c>
      <c r="J198" t="s">
        <v>17</v>
      </c>
      <c r="K198" t="s">
        <v>18</v>
      </c>
    </row>
    <row r="199" spans="1:11" x14ac:dyDescent="0.3">
      <c r="A199" t="s">
        <v>233</v>
      </c>
      <c r="B199" s="1">
        <v>45766</v>
      </c>
      <c r="C199" t="s">
        <v>24</v>
      </c>
      <c r="D199" t="s">
        <v>25</v>
      </c>
      <c r="E199" t="s">
        <v>14</v>
      </c>
      <c r="F199">
        <v>0</v>
      </c>
      <c r="G199" t="s">
        <v>30</v>
      </c>
      <c r="H199" t="s">
        <v>31</v>
      </c>
      <c r="I199">
        <v>4</v>
      </c>
      <c r="J199" t="s">
        <v>18</v>
      </c>
      <c r="K199" t="s">
        <v>17</v>
      </c>
    </row>
    <row r="200" spans="1:11" x14ac:dyDescent="0.3">
      <c r="A200" t="s">
        <v>234</v>
      </c>
      <c r="B200" s="1">
        <v>45342</v>
      </c>
      <c r="C200" t="s">
        <v>24</v>
      </c>
      <c r="D200" t="s">
        <v>21</v>
      </c>
      <c r="E200" t="s">
        <v>14</v>
      </c>
      <c r="F200">
        <v>0</v>
      </c>
      <c r="G200" t="s">
        <v>30</v>
      </c>
      <c r="H200" t="s">
        <v>36</v>
      </c>
      <c r="I200">
        <v>1</v>
      </c>
      <c r="J200" t="s">
        <v>18</v>
      </c>
      <c r="K200" t="s">
        <v>17</v>
      </c>
    </row>
    <row r="201" spans="1:11" x14ac:dyDescent="0.3">
      <c r="A201" t="s">
        <v>235</v>
      </c>
      <c r="B201" s="1">
        <v>45058</v>
      </c>
      <c r="C201" t="s">
        <v>24</v>
      </c>
      <c r="D201" t="s">
        <v>41</v>
      </c>
      <c r="E201" t="s">
        <v>46</v>
      </c>
      <c r="F201">
        <v>34215</v>
      </c>
      <c r="G201" t="s">
        <v>30</v>
      </c>
      <c r="H201" t="s">
        <v>36</v>
      </c>
      <c r="I201">
        <v>4</v>
      </c>
      <c r="J201" t="s">
        <v>17</v>
      </c>
      <c r="K201" t="s">
        <v>18</v>
      </c>
    </row>
    <row r="202" spans="1:11" x14ac:dyDescent="0.3">
      <c r="A202" t="s">
        <v>236</v>
      </c>
      <c r="B202" s="1">
        <v>45059</v>
      </c>
      <c r="C202" t="s">
        <v>12</v>
      </c>
      <c r="D202" t="s">
        <v>25</v>
      </c>
      <c r="E202" t="s">
        <v>12</v>
      </c>
      <c r="F202">
        <v>129088</v>
      </c>
      <c r="G202" t="s">
        <v>15</v>
      </c>
      <c r="H202" t="s">
        <v>27</v>
      </c>
      <c r="I202">
        <v>4</v>
      </c>
      <c r="J202" t="s">
        <v>18</v>
      </c>
      <c r="K202" t="s">
        <v>17</v>
      </c>
    </row>
    <row r="203" spans="1:11" x14ac:dyDescent="0.3">
      <c r="A203" t="s">
        <v>237</v>
      </c>
      <c r="B203" s="1">
        <v>45013</v>
      </c>
      <c r="C203" t="s">
        <v>20</v>
      </c>
      <c r="D203" t="s">
        <v>25</v>
      </c>
      <c r="E203" t="s">
        <v>12</v>
      </c>
      <c r="F203">
        <v>219752</v>
      </c>
      <c r="G203" t="s">
        <v>15</v>
      </c>
      <c r="H203" t="s">
        <v>16</v>
      </c>
      <c r="I203">
        <v>4</v>
      </c>
      <c r="J203" t="s">
        <v>17</v>
      </c>
      <c r="K203" t="s">
        <v>18</v>
      </c>
    </row>
    <row r="204" spans="1:11" x14ac:dyDescent="0.3">
      <c r="A204" t="s">
        <v>238</v>
      </c>
      <c r="B204" s="1">
        <v>45735</v>
      </c>
      <c r="C204" t="s">
        <v>20</v>
      </c>
      <c r="D204" t="s">
        <v>21</v>
      </c>
      <c r="E204" t="s">
        <v>12</v>
      </c>
      <c r="F204">
        <v>232473</v>
      </c>
      <c r="G204" t="s">
        <v>49</v>
      </c>
      <c r="H204" t="s">
        <v>31</v>
      </c>
      <c r="I204">
        <v>1</v>
      </c>
      <c r="J204" t="s">
        <v>17</v>
      </c>
      <c r="K204" t="s">
        <v>18</v>
      </c>
    </row>
    <row r="205" spans="1:11" x14ac:dyDescent="0.3">
      <c r="A205" t="s">
        <v>239</v>
      </c>
      <c r="B205" s="1">
        <v>45749</v>
      </c>
      <c r="C205" t="s">
        <v>24</v>
      </c>
      <c r="D205" t="s">
        <v>21</v>
      </c>
      <c r="E205" t="s">
        <v>12</v>
      </c>
      <c r="F205">
        <v>108301</v>
      </c>
      <c r="G205" t="s">
        <v>15</v>
      </c>
      <c r="H205" t="s">
        <v>31</v>
      </c>
      <c r="I205">
        <v>2</v>
      </c>
      <c r="J205" t="s">
        <v>18</v>
      </c>
      <c r="K205" t="s">
        <v>17</v>
      </c>
    </row>
    <row r="206" spans="1:11" x14ac:dyDescent="0.3">
      <c r="A206" t="s">
        <v>240</v>
      </c>
      <c r="B206" s="1">
        <v>45205</v>
      </c>
      <c r="C206" t="s">
        <v>20</v>
      </c>
      <c r="D206" t="s">
        <v>13</v>
      </c>
      <c r="E206" t="s">
        <v>14</v>
      </c>
      <c r="F206">
        <v>0</v>
      </c>
      <c r="G206" t="s">
        <v>34</v>
      </c>
      <c r="H206" t="s">
        <v>31</v>
      </c>
      <c r="I206">
        <v>4</v>
      </c>
      <c r="J206" t="s">
        <v>18</v>
      </c>
      <c r="K206" t="s">
        <v>17</v>
      </c>
    </row>
    <row r="207" spans="1:11" x14ac:dyDescent="0.3">
      <c r="A207" t="s">
        <v>241</v>
      </c>
      <c r="B207" s="1">
        <v>45176</v>
      </c>
      <c r="C207" t="s">
        <v>20</v>
      </c>
      <c r="D207" t="s">
        <v>33</v>
      </c>
      <c r="E207" t="s">
        <v>29</v>
      </c>
      <c r="F207">
        <v>8869</v>
      </c>
      <c r="G207" t="s">
        <v>30</v>
      </c>
      <c r="H207" t="s">
        <v>27</v>
      </c>
      <c r="I207">
        <v>0</v>
      </c>
      <c r="J207" t="s">
        <v>18</v>
      </c>
      <c r="K207" t="s">
        <v>17</v>
      </c>
    </row>
    <row r="208" spans="1:11" x14ac:dyDescent="0.3">
      <c r="A208" t="s">
        <v>242</v>
      </c>
      <c r="B208" s="1">
        <v>45886</v>
      </c>
      <c r="C208" t="s">
        <v>20</v>
      </c>
      <c r="D208" t="s">
        <v>33</v>
      </c>
      <c r="E208" t="s">
        <v>12</v>
      </c>
      <c r="F208">
        <v>140915</v>
      </c>
      <c r="G208" t="s">
        <v>49</v>
      </c>
      <c r="H208" t="s">
        <v>31</v>
      </c>
      <c r="I208">
        <v>2</v>
      </c>
      <c r="J208" t="s">
        <v>17</v>
      </c>
      <c r="K208" t="s">
        <v>18</v>
      </c>
    </row>
    <row r="209" spans="1:11" x14ac:dyDescent="0.3">
      <c r="A209" t="s">
        <v>243</v>
      </c>
      <c r="B209" s="1">
        <v>45154</v>
      </c>
      <c r="C209" t="s">
        <v>24</v>
      </c>
      <c r="D209" t="s">
        <v>41</v>
      </c>
      <c r="E209" t="s">
        <v>14</v>
      </c>
      <c r="F209">
        <v>0</v>
      </c>
      <c r="G209" t="s">
        <v>30</v>
      </c>
      <c r="H209" t="s">
        <v>31</v>
      </c>
      <c r="I209">
        <v>3</v>
      </c>
      <c r="J209" t="s">
        <v>18</v>
      </c>
      <c r="K209" t="s">
        <v>17</v>
      </c>
    </row>
    <row r="210" spans="1:11" x14ac:dyDescent="0.3">
      <c r="A210" t="s">
        <v>244</v>
      </c>
      <c r="B210" s="1">
        <v>45108</v>
      </c>
      <c r="C210" t="s">
        <v>12</v>
      </c>
      <c r="D210" t="s">
        <v>39</v>
      </c>
      <c r="E210" t="s">
        <v>46</v>
      </c>
      <c r="F210">
        <v>46798</v>
      </c>
      <c r="G210" t="s">
        <v>34</v>
      </c>
      <c r="H210" t="s">
        <v>36</v>
      </c>
      <c r="I210">
        <v>0</v>
      </c>
      <c r="J210" t="s">
        <v>17</v>
      </c>
      <c r="K210" t="s">
        <v>18</v>
      </c>
    </row>
    <row r="211" spans="1:11" x14ac:dyDescent="0.3">
      <c r="A211" t="s">
        <v>245</v>
      </c>
      <c r="B211" s="1">
        <v>45514</v>
      </c>
      <c r="C211" t="s">
        <v>20</v>
      </c>
      <c r="D211" t="s">
        <v>21</v>
      </c>
      <c r="E211" t="s">
        <v>12</v>
      </c>
      <c r="F211">
        <v>188732</v>
      </c>
      <c r="G211" t="s">
        <v>15</v>
      </c>
      <c r="H211" t="s">
        <v>36</v>
      </c>
      <c r="I211">
        <v>2</v>
      </c>
      <c r="J211" t="s">
        <v>18</v>
      </c>
      <c r="K211" t="s">
        <v>17</v>
      </c>
    </row>
    <row r="212" spans="1:11" x14ac:dyDescent="0.3">
      <c r="A212" t="s">
        <v>246</v>
      </c>
      <c r="B212" s="1">
        <v>44935</v>
      </c>
      <c r="C212" t="s">
        <v>20</v>
      </c>
      <c r="D212" t="s">
        <v>25</v>
      </c>
      <c r="E212" t="s">
        <v>29</v>
      </c>
      <c r="F212">
        <v>8011</v>
      </c>
      <c r="G212" t="s">
        <v>15</v>
      </c>
      <c r="H212" t="s">
        <v>27</v>
      </c>
      <c r="I212">
        <v>3</v>
      </c>
      <c r="J212" t="s">
        <v>18</v>
      </c>
      <c r="K212" t="s">
        <v>17</v>
      </c>
    </row>
    <row r="213" spans="1:11" x14ac:dyDescent="0.3">
      <c r="A213" t="s">
        <v>247</v>
      </c>
      <c r="B213" s="1">
        <v>45635</v>
      </c>
      <c r="C213" t="s">
        <v>20</v>
      </c>
      <c r="D213" t="s">
        <v>13</v>
      </c>
      <c r="E213" t="s">
        <v>29</v>
      </c>
      <c r="F213">
        <v>13695</v>
      </c>
      <c r="G213" t="s">
        <v>26</v>
      </c>
      <c r="H213" t="s">
        <v>31</v>
      </c>
      <c r="I213">
        <v>1</v>
      </c>
      <c r="J213" t="s">
        <v>18</v>
      </c>
      <c r="K213" t="s">
        <v>17</v>
      </c>
    </row>
    <row r="214" spans="1:11" x14ac:dyDescent="0.3">
      <c r="A214" t="s">
        <v>248</v>
      </c>
      <c r="B214" s="1">
        <v>45391</v>
      </c>
      <c r="C214" t="s">
        <v>24</v>
      </c>
      <c r="D214" t="s">
        <v>41</v>
      </c>
      <c r="E214" t="s">
        <v>14</v>
      </c>
      <c r="F214">
        <v>0</v>
      </c>
      <c r="G214" t="s">
        <v>49</v>
      </c>
      <c r="H214" t="s">
        <v>42</v>
      </c>
      <c r="I214">
        <v>5</v>
      </c>
      <c r="J214" t="s">
        <v>18</v>
      </c>
      <c r="K214" t="s">
        <v>17</v>
      </c>
    </row>
    <row r="215" spans="1:11" x14ac:dyDescent="0.3">
      <c r="A215" t="s">
        <v>249</v>
      </c>
      <c r="B215" s="1">
        <v>45612</v>
      </c>
      <c r="C215" t="s">
        <v>12</v>
      </c>
      <c r="D215" t="s">
        <v>25</v>
      </c>
      <c r="E215" t="s">
        <v>14</v>
      </c>
      <c r="F215">
        <v>0</v>
      </c>
      <c r="G215" t="s">
        <v>34</v>
      </c>
      <c r="H215" t="s">
        <v>27</v>
      </c>
      <c r="I215">
        <v>0</v>
      </c>
      <c r="J215" t="s">
        <v>18</v>
      </c>
      <c r="K215" t="s">
        <v>17</v>
      </c>
    </row>
    <row r="216" spans="1:11" x14ac:dyDescent="0.3">
      <c r="A216" t="s">
        <v>250</v>
      </c>
      <c r="B216" s="1">
        <v>45717</v>
      </c>
      <c r="C216" t="s">
        <v>24</v>
      </c>
      <c r="D216" t="s">
        <v>13</v>
      </c>
      <c r="E216" t="s">
        <v>12</v>
      </c>
      <c r="F216">
        <v>148298</v>
      </c>
      <c r="G216" t="s">
        <v>26</v>
      </c>
      <c r="H216" t="s">
        <v>36</v>
      </c>
      <c r="I216">
        <v>5</v>
      </c>
      <c r="J216" t="s">
        <v>18</v>
      </c>
      <c r="K216" t="s">
        <v>17</v>
      </c>
    </row>
    <row r="217" spans="1:11" x14ac:dyDescent="0.3">
      <c r="A217" t="s">
        <v>251</v>
      </c>
      <c r="B217" s="1">
        <v>45037</v>
      </c>
      <c r="C217" t="s">
        <v>12</v>
      </c>
      <c r="D217" t="s">
        <v>13</v>
      </c>
      <c r="E217" t="s">
        <v>29</v>
      </c>
      <c r="F217">
        <v>7967</v>
      </c>
      <c r="G217" t="s">
        <v>22</v>
      </c>
      <c r="H217" t="s">
        <v>27</v>
      </c>
      <c r="I217">
        <v>5</v>
      </c>
      <c r="J217" t="s">
        <v>17</v>
      </c>
      <c r="K217" t="s">
        <v>18</v>
      </c>
    </row>
    <row r="218" spans="1:11" x14ac:dyDescent="0.3">
      <c r="A218" t="s">
        <v>252</v>
      </c>
      <c r="B218" s="1">
        <v>45129</v>
      </c>
      <c r="C218" t="s">
        <v>20</v>
      </c>
      <c r="D218" t="s">
        <v>21</v>
      </c>
      <c r="E218" t="s">
        <v>46</v>
      </c>
      <c r="F218">
        <v>38678</v>
      </c>
      <c r="G218" t="s">
        <v>49</v>
      </c>
      <c r="H218" t="s">
        <v>42</v>
      </c>
      <c r="I218">
        <v>1</v>
      </c>
      <c r="J218" t="s">
        <v>18</v>
      </c>
      <c r="K218" t="s">
        <v>17</v>
      </c>
    </row>
    <row r="219" spans="1:11" x14ac:dyDescent="0.3">
      <c r="A219" t="s">
        <v>253</v>
      </c>
      <c r="B219" s="1">
        <v>44958</v>
      </c>
      <c r="C219" t="s">
        <v>12</v>
      </c>
      <c r="D219" t="s">
        <v>39</v>
      </c>
      <c r="E219" t="s">
        <v>12</v>
      </c>
      <c r="F219">
        <v>228485</v>
      </c>
      <c r="G219" t="s">
        <v>15</v>
      </c>
      <c r="H219" t="s">
        <v>36</v>
      </c>
      <c r="I219">
        <v>2</v>
      </c>
      <c r="J219" t="s">
        <v>18</v>
      </c>
      <c r="K219" t="s">
        <v>17</v>
      </c>
    </row>
    <row r="220" spans="1:11" x14ac:dyDescent="0.3">
      <c r="A220" t="s">
        <v>254</v>
      </c>
      <c r="B220" s="1">
        <v>45800</v>
      </c>
      <c r="C220" t="s">
        <v>24</v>
      </c>
      <c r="D220" t="s">
        <v>21</v>
      </c>
      <c r="E220" t="s">
        <v>46</v>
      </c>
      <c r="F220">
        <v>46706</v>
      </c>
      <c r="G220" t="s">
        <v>22</v>
      </c>
      <c r="H220" t="s">
        <v>31</v>
      </c>
      <c r="I220">
        <v>3</v>
      </c>
      <c r="J220" t="s">
        <v>18</v>
      </c>
      <c r="K220" t="s">
        <v>17</v>
      </c>
    </row>
    <row r="221" spans="1:11" x14ac:dyDescent="0.3">
      <c r="A221" t="s">
        <v>255</v>
      </c>
      <c r="B221" s="1">
        <v>45435</v>
      </c>
      <c r="C221" t="s">
        <v>24</v>
      </c>
      <c r="D221" t="s">
        <v>41</v>
      </c>
      <c r="E221" t="s">
        <v>46</v>
      </c>
      <c r="F221">
        <v>43069</v>
      </c>
      <c r="G221" t="s">
        <v>22</v>
      </c>
      <c r="H221" t="s">
        <v>27</v>
      </c>
      <c r="I221">
        <v>0</v>
      </c>
      <c r="J221" t="s">
        <v>18</v>
      </c>
      <c r="K221" t="s">
        <v>17</v>
      </c>
    </row>
    <row r="222" spans="1:11" x14ac:dyDescent="0.3">
      <c r="A222" t="s">
        <v>256</v>
      </c>
      <c r="B222" s="1">
        <v>45148</v>
      </c>
      <c r="C222" t="s">
        <v>24</v>
      </c>
      <c r="D222" t="s">
        <v>39</v>
      </c>
      <c r="E222" t="s">
        <v>14</v>
      </c>
      <c r="F222">
        <v>0</v>
      </c>
      <c r="G222" t="s">
        <v>15</v>
      </c>
      <c r="H222" t="s">
        <v>36</v>
      </c>
      <c r="I222">
        <v>5</v>
      </c>
      <c r="J222" t="s">
        <v>18</v>
      </c>
      <c r="K222" t="s">
        <v>17</v>
      </c>
    </row>
    <row r="223" spans="1:11" x14ac:dyDescent="0.3">
      <c r="A223" t="s">
        <v>257</v>
      </c>
      <c r="B223" s="1">
        <v>45336</v>
      </c>
      <c r="C223" t="s">
        <v>12</v>
      </c>
      <c r="D223" t="s">
        <v>13</v>
      </c>
      <c r="E223" t="s">
        <v>12</v>
      </c>
      <c r="F223">
        <v>160864</v>
      </c>
      <c r="G223" t="s">
        <v>26</v>
      </c>
      <c r="H223" t="s">
        <v>16</v>
      </c>
      <c r="I223">
        <v>3</v>
      </c>
      <c r="J223" t="s">
        <v>17</v>
      </c>
      <c r="K223" t="s">
        <v>18</v>
      </c>
    </row>
    <row r="224" spans="1:11" x14ac:dyDescent="0.3">
      <c r="A224" t="s">
        <v>258</v>
      </c>
      <c r="B224" s="1">
        <v>45438</v>
      </c>
      <c r="C224" t="s">
        <v>12</v>
      </c>
      <c r="D224" t="s">
        <v>41</v>
      </c>
      <c r="E224" t="s">
        <v>14</v>
      </c>
      <c r="F224">
        <v>0</v>
      </c>
      <c r="G224" t="s">
        <v>49</v>
      </c>
      <c r="H224" t="s">
        <v>16</v>
      </c>
      <c r="I224">
        <v>5</v>
      </c>
      <c r="J224" t="s">
        <v>18</v>
      </c>
      <c r="K224" t="s">
        <v>17</v>
      </c>
    </row>
    <row r="225" spans="1:11" x14ac:dyDescent="0.3">
      <c r="A225" t="s">
        <v>259</v>
      </c>
      <c r="B225" s="1">
        <v>45710</v>
      </c>
      <c r="C225" t="s">
        <v>12</v>
      </c>
      <c r="D225" t="s">
        <v>25</v>
      </c>
      <c r="E225" t="s">
        <v>12</v>
      </c>
      <c r="F225">
        <v>236297</v>
      </c>
      <c r="G225" t="s">
        <v>49</v>
      </c>
      <c r="H225" t="s">
        <v>27</v>
      </c>
      <c r="I225">
        <v>2</v>
      </c>
      <c r="J225" t="s">
        <v>18</v>
      </c>
      <c r="K225" t="s">
        <v>17</v>
      </c>
    </row>
    <row r="226" spans="1:11" x14ac:dyDescent="0.3">
      <c r="A226" t="s">
        <v>260</v>
      </c>
      <c r="B226" s="1">
        <v>45845</v>
      </c>
      <c r="C226" t="s">
        <v>12</v>
      </c>
      <c r="D226" t="s">
        <v>41</v>
      </c>
      <c r="E226" t="s">
        <v>29</v>
      </c>
      <c r="F226">
        <v>16924</v>
      </c>
      <c r="G226" t="s">
        <v>22</v>
      </c>
      <c r="H226" t="s">
        <v>16</v>
      </c>
      <c r="I226">
        <v>3</v>
      </c>
      <c r="J226" t="s">
        <v>18</v>
      </c>
      <c r="K226" t="s">
        <v>17</v>
      </c>
    </row>
    <row r="227" spans="1:11" x14ac:dyDescent="0.3">
      <c r="A227" t="s">
        <v>261</v>
      </c>
      <c r="B227" s="1">
        <v>44936</v>
      </c>
      <c r="C227" t="s">
        <v>24</v>
      </c>
      <c r="D227" t="s">
        <v>21</v>
      </c>
      <c r="E227" t="s">
        <v>12</v>
      </c>
      <c r="F227">
        <v>107722</v>
      </c>
      <c r="G227" t="s">
        <v>30</v>
      </c>
      <c r="H227" t="s">
        <v>16</v>
      </c>
      <c r="I227">
        <v>0</v>
      </c>
      <c r="J227" t="s">
        <v>18</v>
      </c>
      <c r="K227" t="s">
        <v>17</v>
      </c>
    </row>
    <row r="228" spans="1:11" x14ac:dyDescent="0.3">
      <c r="A228" t="s">
        <v>262</v>
      </c>
      <c r="B228" s="1">
        <v>45231</v>
      </c>
      <c r="C228" t="s">
        <v>24</v>
      </c>
      <c r="D228" t="s">
        <v>41</v>
      </c>
      <c r="E228" t="s">
        <v>12</v>
      </c>
      <c r="F228">
        <v>130462</v>
      </c>
      <c r="G228" t="s">
        <v>15</v>
      </c>
      <c r="H228" t="s">
        <v>31</v>
      </c>
      <c r="I228">
        <v>3</v>
      </c>
      <c r="J228" t="s">
        <v>18</v>
      </c>
      <c r="K228" t="s">
        <v>17</v>
      </c>
    </row>
    <row r="229" spans="1:11" x14ac:dyDescent="0.3">
      <c r="A229" t="s">
        <v>263</v>
      </c>
      <c r="B229" s="1">
        <v>45354</v>
      </c>
      <c r="C229" t="s">
        <v>12</v>
      </c>
      <c r="D229" t="s">
        <v>13</v>
      </c>
      <c r="E229" t="s">
        <v>46</v>
      </c>
      <c r="F229">
        <v>48244</v>
      </c>
      <c r="G229" t="s">
        <v>22</v>
      </c>
      <c r="H229" t="s">
        <v>31</v>
      </c>
      <c r="I229">
        <v>0</v>
      </c>
      <c r="J229" t="s">
        <v>18</v>
      </c>
      <c r="K229" t="s">
        <v>17</v>
      </c>
    </row>
    <row r="230" spans="1:11" x14ac:dyDescent="0.3">
      <c r="A230" t="s">
        <v>264</v>
      </c>
      <c r="B230" s="1">
        <v>45181</v>
      </c>
      <c r="C230" t="s">
        <v>12</v>
      </c>
      <c r="D230" t="s">
        <v>39</v>
      </c>
      <c r="E230" t="s">
        <v>46</v>
      </c>
      <c r="F230">
        <v>36783</v>
      </c>
      <c r="G230" t="s">
        <v>15</v>
      </c>
      <c r="H230" t="s">
        <v>16</v>
      </c>
      <c r="I230">
        <v>5</v>
      </c>
      <c r="J230" t="s">
        <v>18</v>
      </c>
      <c r="K230" t="s">
        <v>17</v>
      </c>
    </row>
    <row r="231" spans="1:11" x14ac:dyDescent="0.3">
      <c r="A231" t="s">
        <v>265</v>
      </c>
      <c r="B231" s="1">
        <v>45305</v>
      </c>
      <c r="C231" t="s">
        <v>20</v>
      </c>
      <c r="D231" t="s">
        <v>33</v>
      </c>
      <c r="E231" t="s">
        <v>46</v>
      </c>
      <c r="F231">
        <v>34673</v>
      </c>
      <c r="G231" t="s">
        <v>34</v>
      </c>
      <c r="H231" t="s">
        <v>42</v>
      </c>
      <c r="I231">
        <v>0</v>
      </c>
      <c r="J231" t="s">
        <v>18</v>
      </c>
      <c r="K231" t="s">
        <v>17</v>
      </c>
    </row>
    <row r="232" spans="1:11" x14ac:dyDescent="0.3">
      <c r="A232" t="s">
        <v>266</v>
      </c>
      <c r="B232" s="1">
        <v>45283</v>
      </c>
      <c r="C232" t="s">
        <v>24</v>
      </c>
      <c r="D232" t="s">
        <v>41</v>
      </c>
      <c r="E232" t="s">
        <v>29</v>
      </c>
      <c r="F232">
        <v>8501</v>
      </c>
      <c r="G232" t="s">
        <v>30</v>
      </c>
      <c r="H232" t="s">
        <v>16</v>
      </c>
      <c r="I232">
        <v>1</v>
      </c>
      <c r="J232" t="s">
        <v>18</v>
      </c>
      <c r="K232" t="s">
        <v>17</v>
      </c>
    </row>
    <row r="233" spans="1:11" x14ac:dyDescent="0.3">
      <c r="A233" t="s">
        <v>267</v>
      </c>
      <c r="B233" s="1">
        <v>45196</v>
      </c>
      <c r="C233" t="s">
        <v>20</v>
      </c>
      <c r="D233" t="s">
        <v>33</v>
      </c>
      <c r="E233" t="s">
        <v>46</v>
      </c>
      <c r="F233">
        <v>55679</v>
      </c>
      <c r="G233" t="s">
        <v>34</v>
      </c>
      <c r="H233" t="s">
        <v>36</v>
      </c>
      <c r="I233">
        <v>4</v>
      </c>
      <c r="J233" t="s">
        <v>17</v>
      </c>
      <c r="K233" t="s">
        <v>18</v>
      </c>
    </row>
    <row r="234" spans="1:11" x14ac:dyDescent="0.3">
      <c r="A234" t="s">
        <v>268</v>
      </c>
      <c r="B234" s="1">
        <v>45818</v>
      </c>
      <c r="C234" t="s">
        <v>24</v>
      </c>
      <c r="D234" t="s">
        <v>25</v>
      </c>
      <c r="E234" t="s">
        <v>14</v>
      </c>
      <c r="F234">
        <v>0</v>
      </c>
      <c r="G234" t="s">
        <v>30</v>
      </c>
      <c r="H234" t="s">
        <v>16</v>
      </c>
      <c r="I234">
        <v>1</v>
      </c>
      <c r="J234" t="s">
        <v>18</v>
      </c>
      <c r="K234" t="s">
        <v>17</v>
      </c>
    </row>
    <row r="235" spans="1:11" x14ac:dyDescent="0.3">
      <c r="A235" t="s">
        <v>269</v>
      </c>
      <c r="B235" s="1">
        <v>45689</v>
      </c>
      <c r="C235" t="s">
        <v>20</v>
      </c>
      <c r="D235" t="s">
        <v>21</v>
      </c>
      <c r="E235" t="s">
        <v>46</v>
      </c>
      <c r="F235">
        <v>55033</v>
      </c>
      <c r="G235" t="s">
        <v>22</v>
      </c>
      <c r="H235" t="s">
        <v>31</v>
      </c>
      <c r="I235">
        <v>0</v>
      </c>
      <c r="J235" t="s">
        <v>17</v>
      </c>
      <c r="K235" t="s">
        <v>18</v>
      </c>
    </row>
    <row r="236" spans="1:11" x14ac:dyDescent="0.3">
      <c r="A236" t="s">
        <v>270</v>
      </c>
      <c r="B236" s="1">
        <v>45308</v>
      </c>
      <c r="C236" t="s">
        <v>20</v>
      </c>
      <c r="D236" t="s">
        <v>13</v>
      </c>
      <c r="E236" t="s">
        <v>29</v>
      </c>
      <c r="F236">
        <v>7943</v>
      </c>
      <c r="G236" t="s">
        <v>49</v>
      </c>
      <c r="H236" t="s">
        <v>36</v>
      </c>
      <c r="I236">
        <v>0</v>
      </c>
      <c r="J236" t="s">
        <v>18</v>
      </c>
      <c r="K236" t="s">
        <v>17</v>
      </c>
    </row>
    <row r="237" spans="1:11" x14ac:dyDescent="0.3">
      <c r="A237" t="s">
        <v>271</v>
      </c>
      <c r="B237" s="1">
        <v>45185</v>
      </c>
      <c r="C237" t="s">
        <v>24</v>
      </c>
      <c r="D237" t="s">
        <v>21</v>
      </c>
      <c r="E237" t="s">
        <v>14</v>
      </c>
      <c r="F237">
        <v>0</v>
      </c>
      <c r="G237" t="s">
        <v>15</v>
      </c>
      <c r="H237" t="s">
        <v>31</v>
      </c>
      <c r="I237">
        <v>5</v>
      </c>
      <c r="J237" t="s">
        <v>17</v>
      </c>
      <c r="K237" t="s">
        <v>18</v>
      </c>
    </row>
    <row r="238" spans="1:11" x14ac:dyDescent="0.3">
      <c r="A238" t="s">
        <v>272</v>
      </c>
      <c r="B238" s="1">
        <v>45837</v>
      </c>
      <c r="C238" t="s">
        <v>12</v>
      </c>
      <c r="D238" t="s">
        <v>21</v>
      </c>
      <c r="E238" t="s">
        <v>46</v>
      </c>
      <c r="F238">
        <v>51891</v>
      </c>
      <c r="G238" t="s">
        <v>26</v>
      </c>
      <c r="H238" t="s">
        <v>16</v>
      </c>
      <c r="I238">
        <v>1</v>
      </c>
      <c r="J238" t="s">
        <v>18</v>
      </c>
      <c r="K238" t="s">
        <v>17</v>
      </c>
    </row>
    <row r="239" spans="1:11" x14ac:dyDescent="0.3">
      <c r="A239" t="s">
        <v>273</v>
      </c>
      <c r="B239" s="1">
        <v>45037</v>
      </c>
      <c r="C239" t="s">
        <v>20</v>
      </c>
      <c r="D239" t="s">
        <v>21</v>
      </c>
      <c r="E239" t="s">
        <v>29</v>
      </c>
      <c r="F239">
        <v>14210</v>
      </c>
      <c r="G239" t="s">
        <v>49</v>
      </c>
      <c r="H239" t="s">
        <v>42</v>
      </c>
      <c r="I239">
        <v>3</v>
      </c>
      <c r="J239" t="s">
        <v>18</v>
      </c>
      <c r="K239" t="s">
        <v>17</v>
      </c>
    </row>
    <row r="240" spans="1:11" x14ac:dyDescent="0.3">
      <c r="A240" t="s">
        <v>274</v>
      </c>
      <c r="B240" s="1">
        <v>45677</v>
      </c>
      <c r="C240" t="s">
        <v>24</v>
      </c>
      <c r="D240" t="s">
        <v>41</v>
      </c>
      <c r="E240" t="s">
        <v>12</v>
      </c>
      <c r="F240">
        <v>202202</v>
      </c>
      <c r="G240" t="s">
        <v>15</v>
      </c>
      <c r="H240" t="s">
        <v>27</v>
      </c>
      <c r="I240">
        <v>2</v>
      </c>
      <c r="J240" t="s">
        <v>18</v>
      </c>
      <c r="K240" t="s">
        <v>17</v>
      </c>
    </row>
    <row r="241" spans="1:11" x14ac:dyDescent="0.3">
      <c r="A241" t="s">
        <v>275</v>
      </c>
      <c r="B241" s="1">
        <v>45381</v>
      </c>
      <c r="C241" t="s">
        <v>24</v>
      </c>
      <c r="D241" t="s">
        <v>39</v>
      </c>
      <c r="E241" t="s">
        <v>46</v>
      </c>
      <c r="F241">
        <v>53944</v>
      </c>
      <c r="G241" t="s">
        <v>49</v>
      </c>
      <c r="H241" t="s">
        <v>27</v>
      </c>
      <c r="I241">
        <v>2</v>
      </c>
      <c r="J241" t="s">
        <v>18</v>
      </c>
      <c r="K241" t="s">
        <v>17</v>
      </c>
    </row>
    <row r="242" spans="1:11" x14ac:dyDescent="0.3">
      <c r="A242" t="s">
        <v>276</v>
      </c>
      <c r="B242" s="1">
        <v>45644</v>
      </c>
      <c r="C242" t="s">
        <v>24</v>
      </c>
      <c r="D242" t="s">
        <v>41</v>
      </c>
      <c r="E242" t="s">
        <v>46</v>
      </c>
      <c r="F242">
        <v>34127</v>
      </c>
      <c r="G242" t="s">
        <v>30</v>
      </c>
      <c r="H242" t="s">
        <v>42</v>
      </c>
      <c r="I242">
        <v>2</v>
      </c>
      <c r="J242" t="s">
        <v>17</v>
      </c>
      <c r="K242" t="s">
        <v>18</v>
      </c>
    </row>
    <row r="243" spans="1:11" x14ac:dyDescent="0.3">
      <c r="A243" t="s">
        <v>277</v>
      </c>
      <c r="B243" s="1">
        <v>45382</v>
      </c>
      <c r="C243" t="s">
        <v>24</v>
      </c>
      <c r="D243" t="s">
        <v>33</v>
      </c>
      <c r="E243" t="s">
        <v>12</v>
      </c>
      <c r="F243">
        <v>169652</v>
      </c>
      <c r="G243" t="s">
        <v>26</v>
      </c>
      <c r="H243" t="s">
        <v>16</v>
      </c>
      <c r="I243">
        <v>4</v>
      </c>
      <c r="J243" t="s">
        <v>18</v>
      </c>
      <c r="K243" t="s">
        <v>17</v>
      </c>
    </row>
    <row r="244" spans="1:11" x14ac:dyDescent="0.3">
      <c r="A244" t="s">
        <v>278</v>
      </c>
      <c r="B244" s="1">
        <v>45290</v>
      </c>
      <c r="C244" t="s">
        <v>24</v>
      </c>
      <c r="D244" t="s">
        <v>13</v>
      </c>
      <c r="E244" t="s">
        <v>12</v>
      </c>
      <c r="F244">
        <v>228017</v>
      </c>
      <c r="G244" t="s">
        <v>15</v>
      </c>
      <c r="H244" t="s">
        <v>16</v>
      </c>
      <c r="I244">
        <v>1</v>
      </c>
      <c r="J244" t="s">
        <v>18</v>
      </c>
      <c r="K244" t="s">
        <v>17</v>
      </c>
    </row>
    <row r="245" spans="1:11" x14ac:dyDescent="0.3">
      <c r="A245" t="s">
        <v>279</v>
      </c>
      <c r="B245" s="1">
        <v>45792</v>
      </c>
      <c r="C245" t="s">
        <v>20</v>
      </c>
      <c r="D245" t="s">
        <v>39</v>
      </c>
      <c r="E245" t="s">
        <v>46</v>
      </c>
      <c r="F245">
        <v>45679</v>
      </c>
      <c r="G245" t="s">
        <v>26</v>
      </c>
      <c r="H245" t="s">
        <v>36</v>
      </c>
      <c r="I245">
        <v>2</v>
      </c>
      <c r="J245" t="s">
        <v>18</v>
      </c>
      <c r="K245" t="s">
        <v>17</v>
      </c>
    </row>
    <row r="246" spans="1:11" x14ac:dyDescent="0.3">
      <c r="A246" t="s">
        <v>280</v>
      </c>
      <c r="B246" s="1">
        <v>45045</v>
      </c>
      <c r="C246" t="s">
        <v>24</v>
      </c>
      <c r="D246" t="s">
        <v>39</v>
      </c>
      <c r="E246" t="s">
        <v>14</v>
      </c>
      <c r="F246">
        <v>0</v>
      </c>
      <c r="G246" t="s">
        <v>49</v>
      </c>
      <c r="H246" t="s">
        <v>36</v>
      </c>
      <c r="I246">
        <v>3</v>
      </c>
      <c r="J246" t="s">
        <v>17</v>
      </c>
      <c r="K246" t="s">
        <v>18</v>
      </c>
    </row>
    <row r="247" spans="1:11" x14ac:dyDescent="0.3">
      <c r="A247" t="s">
        <v>281</v>
      </c>
      <c r="B247" s="1">
        <v>45107</v>
      </c>
      <c r="C247" t="s">
        <v>12</v>
      </c>
      <c r="D247" t="s">
        <v>13</v>
      </c>
      <c r="E247" t="s">
        <v>29</v>
      </c>
      <c r="F247">
        <v>11140</v>
      </c>
      <c r="G247" t="s">
        <v>15</v>
      </c>
      <c r="H247" t="s">
        <v>42</v>
      </c>
      <c r="I247">
        <v>4</v>
      </c>
      <c r="J247" t="s">
        <v>18</v>
      </c>
      <c r="K247" t="s">
        <v>17</v>
      </c>
    </row>
    <row r="248" spans="1:11" x14ac:dyDescent="0.3">
      <c r="A248" t="s">
        <v>282</v>
      </c>
      <c r="B248" s="1">
        <v>45409</v>
      </c>
      <c r="C248" t="s">
        <v>12</v>
      </c>
      <c r="D248" t="s">
        <v>33</v>
      </c>
      <c r="E248" t="s">
        <v>46</v>
      </c>
      <c r="F248">
        <v>49629</v>
      </c>
      <c r="G248" t="s">
        <v>15</v>
      </c>
      <c r="H248" t="s">
        <v>36</v>
      </c>
      <c r="I248">
        <v>3</v>
      </c>
      <c r="J248" t="s">
        <v>18</v>
      </c>
      <c r="K248" t="s">
        <v>17</v>
      </c>
    </row>
    <row r="249" spans="1:11" x14ac:dyDescent="0.3">
      <c r="A249" t="s">
        <v>283</v>
      </c>
      <c r="B249" s="1">
        <v>45360</v>
      </c>
      <c r="C249" t="s">
        <v>20</v>
      </c>
      <c r="D249" t="s">
        <v>25</v>
      </c>
      <c r="E249" t="s">
        <v>46</v>
      </c>
      <c r="F249">
        <v>51941</v>
      </c>
      <c r="G249" t="s">
        <v>22</v>
      </c>
      <c r="H249" t="s">
        <v>27</v>
      </c>
      <c r="I249">
        <v>5</v>
      </c>
      <c r="J249" t="s">
        <v>18</v>
      </c>
      <c r="K249" t="s">
        <v>17</v>
      </c>
    </row>
    <row r="250" spans="1:11" x14ac:dyDescent="0.3">
      <c r="A250" t="s">
        <v>284</v>
      </c>
      <c r="B250" s="1">
        <v>45092</v>
      </c>
      <c r="C250" t="s">
        <v>24</v>
      </c>
      <c r="D250" t="s">
        <v>25</v>
      </c>
      <c r="E250" t="s">
        <v>46</v>
      </c>
      <c r="F250">
        <v>27944</v>
      </c>
      <c r="G250" t="s">
        <v>30</v>
      </c>
      <c r="H250" t="s">
        <v>42</v>
      </c>
      <c r="I250">
        <v>2</v>
      </c>
      <c r="J250" t="s">
        <v>18</v>
      </c>
      <c r="K250" t="s">
        <v>17</v>
      </c>
    </row>
    <row r="251" spans="1:11" x14ac:dyDescent="0.3">
      <c r="A251" t="s">
        <v>285</v>
      </c>
      <c r="B251" s="1">
        <v>45698</v>
      </c>
      <c r="C251" t="s">
        <v>24</v>
      </c>
      <c r="D251" t="s">
        <v>13</v>
      </c>
      <c r="E251" t="s">
        <v>46</v>
      </c>
      <c r="F251">
        <v>31767</v>
      </c>
      <c r="G251" t="s">
        <v>34</v>
      </c>
      <c r="H251" t="s">
        <v>27</v>
      </c>
      <c r="I251">
        <v>2</v>
      </c>
      <c r="J251" t="s">
        <v>18</v>
      </c>
      <c r="K251" t="s">
        <v>17</v>
      </c>
    </row>
    <row r="252" spans="1:11" x14ac:dyDescent="0.3">
      <c r="A252" t="s">
        <v>286</v>
      </c>
      <c r="B252" s="1">
        <v>45240</v>
      </c>
      <c r="C252" t="s">
        <v>20</v>
      </c>
      <c r="D252" t="s">
        <v>25</v>
      </c>
      <c r="E252" t="s">
        <v>12</v>
      </c>
      <c r="F252">
        <v>135085</v>
      </c>
      <c r="G252" t="s">
        <v>49</v>
      </c>
      <c r="H252" t="s">
        <v>27</v>
      </c>
      <c r="I252">
        <v>3</v>
      </c>
      <c r="J252" t="s">
        <v>17</v>
      </c>
      <c r="K252" t="s">
        <v>18</v>
      </c>
    </row>
    <row r="253" spans="1:11" x14ac:dyDescent="0.3">
      <c r="A253" t="s">
        <v>287</v>
      </c>
      <c r="B253" s="1">
        <v>45537</v>
      </c>
      <c r="C253" t="s">
        <v>20</v>
      </c>
      <c r="D253" t="s">
        <v>21</v>
      </c>
      <c r="E253" t="s">
        <v>29</v>
      </c>
      <c r="F253">
        <v>14066</v>
      </c>
      <c r="G253" t="s">
        <v>15</v>
      </c>
      <c r="H253" t="s">
        <v>42</v>
      </c>
      <c r="I253">
        <v>5</v>
      </c>
      <c r="J253" t="s">
        <v>18</v>
      </c>
      <c r="K253" t="s">
        <v>17</v>
      </c>
    </row>
    <row r="254" spans="1:11" x14ac:dyDescent="0.3">
      <c r="A254" t="s">
        <v>288</v>
      </c>
      <c r="B254" s="1">
        <v>45796</v>
      </c>
      <c r="C254" t="s">
        <v>20</v>
      </c>
      <c r="D254" t="s">
        <v>25</v>
      </c>
      <c r="E254" t="s">
        <v>29</v>
      </c>
      <c r="F254">
        <v>8603</v>
      </c>
      <c r="G254" t="s">
        <v>26</v>
      </c>
      <c r="H254" t="s">
        <v>36</v>
      </c>
      <c r="I254">
        <v>1</v>
      </c>
      <c r="J254" t="s">
        <v>18</v>
      </c>
      <c r="K254" t="s">
        <v>17</v>
      </c>
    </row>
    <row r="255" spans="1:11" x14ac:dyDescent="0.3">
      <c r="A255" t="s">
        <v>289</v>
      </c>
      <c r="B255" s="1">
        <v>45114</v>
      </c>
      <c r="C255" t="s">
        <v>20</v>
      </c>
      <c r="D255" t="s">
        <v>39</v>
      </c>
      <c r="E255" t="s">
        <v>29</v>
      </c>
      <c r="F255">
        <v>13602</v>
      </c>
      <c r="G255" t="s">
        <v>15</v>
      </c>
      <c r="H255" t="s">
        <v>27</v>
      </c>
      <c r="I255">
        <v>0</v>
      </c>
      <c r="J255" t="s">
        <v>18</v>
      </c>
      <c r="K255" t="s">
        <v>17</v>
      </c>
    </row>
    <row r="256" spans="1:11" x14ac:dyDescent="0.3">
      <c r="A256" t="s">
        <v>290</v>
      </c>
      <c r="B256" s="1">
        <v>45152</v>
      </c>
      <c r="C256" t="s">
        <v>20</v>
      </c>
      <c r="D256" t="s">
        <v>33</v>
      </c>
      <c r="E256" t="s">
        <v>29</v>
      </c>
      <c r="F256">
        <v>7583</v>
      </c>
      <c r="G256" t="s">
        <v>15</v>
      </c>
      <c r="H256" t="s">
        <v>31</v>
      </c>
      <c r="I256">
        <v>5</v>
      </c>
      <c r="J256" t="s">
        <v>18</v>
      </c>
      <c r="K256" t="s">
        <v>17</v>
      </c>
    </row>
    <row r="257" spans="1:11" x14ac:dyDescent="0.3">
      <c r="A257" t="s">
        <v>291</v>
      </c>
      <c r="B257" s="1">
        <v>45700</v>
      </c>
      <c r="C257" t="s">
        <v>12</v>
      </c>
      <c r="D257" t="s">
        <v>33</v>
      </c>
      <c r="E257" t="s">
        <v>29</v>
      </c>
      <c r="F257">
        <v>10851</v>
      </c>
      <c r="G257" t="s">
        <v>30</v>
      </c>
      <c r="H257" t="s">
        <v>31</v>
      </c>
      <c r="I257">
        <v>4</v>
      </c>
      <c r="J257" t="s">
        <v>18</v>
      </c>
      <c r="K257" t="s">
        <v>17</v>
      </c>
    </row>
    <row r="258" spans="1:11" x14ac:dyDescent="0.3">
      <c r="A258" t="s">
        <v>292</v>
      </c>
      <c r="B258" s="1">
        <v>45299</v>
      </c>
      <c r="C258" t="s">
        <v>12</v>
      </c>
      <c r="D258" t="s">
        <v>25</v>
      </c>
      <c r="E258" t="s">
        <v>46</v>
      </c>
      <c r="F258">
        <v>30179</v>
      </c>
      <c r="G258" t="s">
        <v>30</v>
      </c>
      <c r="H258" t="s">
        <v>16</v>
      </c>
      <c r="I258">
        <v>5</v>
      </c>
      <c r="J258" t="s">
        <v>18</v>
      </c>
      <c r="K258" t="s">
        <v>17</v>
      </c>
    </row>
    <row r="259" spans="1:11" x14ac:dyDescent="0.3">
      <c r="A259" t="s">
        <v>293</v>
      </c>
      <c r="B259" s="1">
        <v>45234</v>
      </c>
      <c r="C259" t="s">
        <v>20</v>
      </c>
      <c r="D259" t="s">
        <v>21</v>
      </c>
      <c r="E259" t="s">
        <v>29</v>
      </c>
      <c r="F259">
        <v>10304</v>
      </c>
      <c r="G259" t="s">
        <v>26</v>
      </c>
      <c r="H259" t="s">
        <v>16</v>
      </c>
      <c r="I259">
        <v>2</v>
      </c>
      <c r="J259" t="s">
        <v>18</v>
      </c>
      <c r="K259" t="s">
        <v>17</v>
      </c>
    </row>
    <row r="260" spans="1:11" x14ac:dyDescent="0.3">
      <c r="A260" t="s">
        <v>294</v>
      </c>
      <c r="B260" s="1">
        <v>45853</v>
      </c>
      <c r="C260" t="s">
        <v>20</v>
      </c>
      <c r="D260" t="s">
        <v>33</v>
      </c>
      <c r="E260" t="s">
        <v>14</v>
      </c>
      <c r="F260">
        <v>0</v>
      </c>
      <c r="G260" t="s">
        <v>26</v>
      </c>
      <c r="H260" t="s">
        <v>27</v>
      </c>
      <c r="I260">
        <v>3</v>
      </c>
      <c r="J260" t="s">
        <v>18</v>
      </c>
      <c r="K260" t="s">
        <v>17</v>
      </c>
    </row>
    <row r="261" spans="1:11" x14ac:dyDescent="0.3">
      <c r="A261" t="s">
        <v>295</v>
      </c>
      <c r="B261" s="1">
        <v>45102</v>
      </c>
      <c r="C261" t="s">
        <v>24</v>
      </c>
      <c r="D261" t="s">
        <v>21</v>
      </c>
      <c r="E261" t="s">
        <v>46</v>
      </c>
      <c r="F261">
        <v>53168</v>
      </c>
      <c r="G261" t="s">
        <v>26</v>
      </c>
      <c r="H261" t="s">
        <v>42</v>
      </c>
      <c r="I261">
        <v>3</v>
      </c>
      <c r="J261" t="s">
        <v>18</v>
      </c>
      <c r="K261" t="s">
        <v>17</v>
      </c>
    </row>
    <row r="262" spans="1:11" x14ac:dyDescent="0.3">
      <c r="A262" t="s">
        <v>296</v>
      </c>
      <c r="B262" s="1">
        <v>45454</v>
      </c>
      <c r="C262" t="s">
        <v>12</v>
      </c>
      <c r="D262" t="s">
        <v>21</v>
      </c>
      <c r="E262" t="s">
        <v>12</v>
      </c>
      <c r="F262">
        <v>148994</v>
      </c>
      <c r="G262" t="s">
        <v>49</v>
      </c>
      <c r="H262" t="s">
        <v>42</v>
      </c>
      <c r="I262">
        <v>0</v>
      </c>
      <c r="J262" t="s">
        <v>17</v>
      </c>
      <c r="K262" t="s">
        <v>18</v>
      </c>
    </row>
    <row r="263" spans="1:11" x14ac:dyDescent="0.3">
      <c r="A263" t="s">
        <v>297</v>
      </c>
      <c r="B263" s="1">
        <v>45700</v>
      </c>
      <c r="C263" t="s">
        <v>20</v>
      </c>
      <c r="D263" t="s">
        <v>33</v>
      </c>
      <c r="E263" t="s">
        <v>29</v>
      </c>
      <c r="F263">
        <v>13323</v>
      </c>
      <c r="G263" t="s">
        <v>22</v>
      </c>
      <c r="H263" t="s">
        <v>16</v>
      </c>
      <c r="I263">
        <v>3</v>
      </c>
      <c r="J263" t="s">
        <v>17</v>
      </c>
      <c r="K263" t="s">
        <v>18</v>
      </c>
    </row>
    <row r="264" spans="1:11" x14ac:dyDescent="0.3">
      <c r="A264" t="s">
        <v>298</v>
      </c>
      <c r="B264" s="1">
        <v>45554</v>
      </c>
      <c r="C264" t="s">
        <v>12</v>
      </c>
      <c r="D264" t="s">
        <v>39</v>
      </c>
      <c r="E264" t="s">
        <v>12</v>
      </c>
      <c r="F264">
        <v>122925</v>
      </c>
      <c r="G264" t="s">
        <v>15</v>
      </c>
      <c r="H264" t="s">
        <v>31</v>
      </c>
      <c r="I264">
        <v>2</v>
      </c>
      <c r="J264" t="s">
        <v>18</v>
      </c>
      <c r="K264" t="s">
        <v>17</v>
      </c>
    </row>
    <row r="265" spans="1:11" x14ac:dyDescent="0.3">
      <c r="A265" t="s">
        <v>299</v>
      </c>
      <c r="B265" s="1">
        <v>45263</v>
      </c>
      <c r="C265" t="s">
        <v>20</v>
      </c>
      <c r="D265" t="s">
        <v>25</v>
      </c>
      <c r="E265" t="s">
        <v>46</v>
      </c>
      <c r="F265">
        <v>57848</v>
      </c>
      <c r="G265" t="s">
        <v>30</v>
      </c>
      <c r="H265" t="s">
        <v>36</v>
      </c>
      <c r="I265">
        <v>1</v>
      </c>
      <c r="J265" t="s">
        <v>18</v>
      </c>
      <c r="K265" t="s">
        <v>17</v>
      </c>
    </row>
    <row r="266" spans="1:11" x14ac:dyDescent="0.3">
      <c r="A266" t="s">
        <v>300</v>
      </c>
      <c r="B266" s="1">
        <v>45496</v>
      </c>
      <c r="C266" t="s">
        <v>20</v>
      </c>
      <c r="D266" t="s">
        <v>13</v>
      </c>
      <c r="E266" t="s">
        <v>14</v>
      </c>
      <c r="F266">
        <v>0</v>
      </c>
      <c r="G266" t="s">
        <v>49</v>
      </c>
      <c r="H266" t="s">
        <v>42</v>
      </c>
      <c r="I266">
        <v>1</v>
      </c>
      <c r="J266" t="s">
        <v>18</v>
      </c>
      <c r="K266" t="s">
        <v>17</v>
      </c>
    </row>
    <row r="267" spans="1:11" x14ac:dyDescent="0.3">
      <c r="A267" t="s">
        <v>301</v>
      </c>
      <c r="B267" s="1">
        <v>45687</v>
      </c>
      <c r="C267" t="s">
        <v>24</v>
      </c>
      <c r="D267" t="s">
        <v>33</v>
      </c>
      <c r="E267" t="s">
        <v>14</v>
      </c>
      <c r="F267">
        <v>0</v>
      </c>
      <c r="G267" t="s">
        <v>22</v>
      </c>
      <c r="H267" t="s">
        <v>27</v>
      </c>
      <c r="I267">
        <v>1</v>
      </c>
      <c r="J267" t="s">
        <v>18</v>
      </c>
      <c r="K267" t="s">
        <v>17</v>
      </c>
    </row>
    <row r="268" spans="1:11" x14ac:dyDescent="0.3">
      <c r="A268" t="s">
        <v>302</v>
      </c>
      <c r="B268" s="1">
        <v>45392</v>
      </c>
      <c r="C268" t="s">
        <v>24</v>
      </c>
      <c r="D268" t="s">
        <v>13</v>
      </c>
      <c r="E268" t="s">
        <v>12</v>
      </c>
      <c r="F268">
        <v>135913</v>
      </c>
      <c r="G268" t="s">
        <v>22</v>
      </c>
      <c r="H268" t="s">
        <v>16</v>
      </c>
      <c r="I268">
        <v>1</v>
      </c>
      <c r="J268" t="s">
        <v>18</v>
      </c>
      <c r="K268" t="s">
        <v>17</v>
      </c>
    </row>
    <row r="269" spans="1:11" x14ac:dyDescent="0.3">
      <c r="A269" t="s">
        <v>303</v>
      </c>
      <c r="B269" s="1">
        <v>45537</v>
      </c>
      <c r="C269" t="s">
        <v>20</v>
      </c>
      <c r="D269" t="s">
        <v>25</v>
      </c>
      <c r="E269" t="s">
        <v>12</v>
      </c>
      <c r="F269">
        <v>224434</v>
      </c>
      <c r="G269" t="s">
        <v>30</v>
      </c>
      <c r="H269" t="s">
        <v>36</v>
      </c>
      <c r="I269">
        <v>3</v>
      </c>
      <c r="J269" t="s">
        <v>17</v>
      </c>
      <c r="K269" t="s">
        <v>18</v>
      </c>
    </row>
    <row r="270" spans="1:11" x14ac:dyDescent="0.3">
      <c r="A270" t="s">
        <v>304</v>
      </c>
      <c r="B270" s="1">
        <v>45332</v>
      </c>
      <c r="C270" t="s">
        <v>24</v>
      </c>
      <c r="D270" t="s">
        <v>33</v>
      </c>
      <c r="E270" t="s">
        <v>29</v>
      </c>
      <c r="F270">
        <v>10642</v>
      </c>
      <c r="G270" t="s">
        <v>49</v>
      </c>
      <c r="H270" t="s">
        <v>42</v>
      </c>
      <c r="I270">
        <v>0</v>
      </c>
      <c r="J270" t="s">
        <v>18</v>
      </c>
      <c r="K270" t="s">
        <v>17</v>
      </c>
    </row>
    <row r="271" spans="1:11" x14ac:dyDescent="0.3">
      <c r="A271" t="s">
        <v>305</v>
      </c>
      <c r="B271" s="1">
        <v>45909</v>
      </c>
      <c r="C271" t="s">
        <v>24</v>
      </c>
      <c r="D271" t="s">
        <v>21</v>
      </c>
      <c r="E271" t="s">
        <v>46</v>
      </c>
      <c r="F271">
        <v>34609</v>
      </c>
      <c r="G271" t="s">
        <v>49</v>
      </c>
      <c r="H271" t="s">
        <v>36</v>
      </c>
      <c r="I271">
        <v>2</v>
      </c>
      <c r="J271" t="s">
        <v>18</v>
      </c>
      <c r="K271" t="s">
        <v>17</v>
      </c>
    </row>
    <row r="272" spans="1:11" x14ac:dyDescent="0.3">
      <c r="A272" t="s">
        <v>306</v>
      </c>
      <c r="B272" s="1">
        <v>45030</v>
      </c>
      <c r="C272" t="s">
        <v>12</v>
      </c>
      <c r="D272" t="s">
        <v>25</v>
      </c>
      <c r="E272" t="s">
        <v>29</v>
      </c>
      <c r="F272">
        <v>11058</v>
      </c>
      <c r="G272" t="s">
        <v>49</v>
      </c>
      <c r="H272" t="s">
        <v>16</v>
      </c>
      <c r="I272">
        <v>3</v>
      </c>
      <c r="J272" t="s">
        <v>18</v>
      </c>
      <c r="K272" t="s">
        <v>17</v>
      </c>
    </row>
    <row r="273" spans="1:11" x14ac:dyDescent="0.3">
      <c r="A273" t="s">
        <v>307</v>
      </c>
      <c r="B273" s="1">
        <v>45535</v>
      </c>
      <c r="C273" t="s">
        <v>12</v>
      </c>
      <c r="D273" t="s">
        <v>39</v>
      </c>
      <c r="E273" t="s">
        <v>29</v>
      </c>
      <c r="F273">
        <v>11685</v>
      </c>
      <c r="G273" t="s">
        <v>34</v>
      </c>
      <c r="H273" t="s">
        <v>36</v>
      </c>
      <c r="I273">
        <v>2</v>
      </c>
      <c r="J273" t="s">
        <v>18</v>
      </c>
      <c r="K273" t="s">
        <v>17</v>
      </c>
    </row>
    <row r="274" spans="1:11" x14ac:dyDescent="0.3">
      <c r="A274" t="s">
        <v>308</v>
      </c>
      <c r="B274" s="1">
        <v>45402</v>
      </c>
      <c r="C274" t="s">
        <v>20</v>
      </c>
      <c r="D274" t="s">
        <v>41</v>
      </c>
      <c r="E274" t="s">
        <v>29</v>
      </c>
      <c r="F274">
        <v>16238</v>
      </c>
      <c r="G274" t="s">
        <v>34</v>
      </c>
      <c r="H274" t="s">
        <v>31</v>
      </c>
      <c r="I274">
        <v>0</v>
      </c>
      <c r="J274" t="s">
        <v>17</v>
      </c>
      <c r="K274" t="s">
        <v>18</v>
      </c>
    </row>
    <row r="275" spans="1:11" x14ac:dyDescent="0.3">
      <c r="A275" t="s">
        <v>309</v>
      </c>
      <c r="B275" s="1">
        <v>45580</v>
      </c>
      <c r="C275" t="s">
        <v>24</v>
      </c>
      <c r="D275" t="s">
        <v>41</v>
      </c>
      <c r="E275" t="s">
        <v>46</v>
      </c>
      <c r="F275">
        <v>58668</v>
      </c>
      <c r="G275" t="s">
        <v>30</v>
      </c>
      <c r="H275" t="s">
        <v>42</v>
      </c>
      <c r="I275">
        <v>1</v>
      </c>
      <c r="J275" t="s">
        <v>18</v>
      </c>
      <c r="K275" t="s">
        <v>17</v>
      </c>
    </row>
    <row r="276" spans="1:11" x14ac:dyDescent="0.3">
      <c r="A276" t="s">
        <v>310</v>
      </c>
      <c r="B276" s="1">
        <v>45866</v>
      </c>
      <c r="C276" t="s">
        <v>20</v>
      </c>
      <c r="D276" t="s">
        <v>13</v>
      </c>
      <c r="E276" t="s">
        <v>46</v>
      </c>
      <c r="F276">
        <v>38279</v>
      </c>
      <c r="G276" t="s">
        <v>15</v>
      </c>
      <c r="H276" t="s">
        <v>27</v>
      </c>
      <c r="I276">
        <v>0</v>
      </c>
      <c r="J276" t="s">
        <v>18</v>
      </c>
      <c r="K276" t="s">
        <v>17</v>
      </c>
    </row>
    <row r="277" spans="1:11" x14ac:dyDescent="0.3">
      <c r="A277" t="s">
        <v>311</v>
      </c>
      <c r="B277" s="1">
        <v>45014</v>
      </c>
      <c r="C277" t="s">
        <v>24</v>
      </c>
      <c r="D277" t="s">
        <v>13</v>
      </c>
      <c r="E277" t="s">
        <v>12</v>
      </c>
      <c r="F277">
        <v>173665</v>
      </c>
      <c r="G277" t="s">
        <v>26</v>
      </c>
      <c r="H277" t="s">
        <v>16</v>
      </c>
      <c r="I277">
        <v>4</v>
      </c>
      <c r="J277" t="s">
        <v>17</v>
      </c>
      <c r="K277" t="s">
        <v>18</v>
      </c>
    </row>
    <row r="278" spans="1:11" x14ac:dyDescent="0.3">
      <c r="A278" t="s">
        <v>312</v>
      </c>
      <c r="B278" s="1">
        <v>45880</v>
      </c>
      <c r="C278" t="s">
        <v>24</v>
      </c>
      <c r="D278" t="s">
        <v>13</v>
      </c>
      <c r="E278" t="s">
        <v>12</v>
      </c>
      <c r="F278">
        <v>111069</v>
      </c>
      <c r="G278" t="s">
        <v>30</v>
      </c>
      <c r="H278" t="s">
        <v>16</v>
      </c>
      <c r="I278">
        <v>0</v>
      </c>
      <c r="J278" t="s">
        <v>18</v>
      </c>
      <c r="K278" t="s">
        <v>17</v>
      </c>
    </row>
    <row r="279" spans="1:11" x14ac:dyDescent="0.3">
      <c r="A279" t="s">
        <v>313</v>
      </c>
      <c r="B279" s="1">
        <v>45565</v>
      </c>
      <c r="C279" t="s">
        <v>12</v>
      </c>
      <c r="D279" t="s">
        <v>13</v>
      </c>
      <c r="E279" t="s">
        <v>46</v>
      </c>
      <c r="F279">
        <v>40014</v>
      </c>
      <c r="G279" t="s">
        <v>15</v>
      </c>
      <c r="H279" t="s">
        <v>16</v>
      </c>
      <c r="I279">
        <v>5</v>
      </c>
      <c r="J279" t="s">
        <v>18</v>
      </c>
      <c r="K279" t="s">
        <v>17</v>
      </c>
    </row>
    <row r="280" spans="1:11" x14ac:dyDescent="0.3">
      <c r="A280" t="s">
        <v>314</v>
      </c>
      <c r="B280" s="1">
        <v>45596</v>
      </c>
      <c r="C280" t="s">
        <v>24</v>
      </c>
      <c r="D280" t="s">
        <v>41</v>
      </c>
      <c r="E280" t="s">
        <v>14</v>
      </c>
      <c r="F280">
        <v>0</v>
      </c>
      <c r="G280" t="s">
        <v>22</v>
      </c>
      <c r="H280" t="s">
        <v>36</v>
      </c>
      <c r="I280">
        <v>3</v>
      </c>
      <c r="J280" t="s">
        <v>17</v>
      </c>
      <c r="K280" t="s">
        <v>18</v>
      </c>
    </row>
    <row r="281" spans="1:11" x14ac:dyDescent="0.3">
      <c r="A281" t="s">
        <v>315</v>
      </c>
      <c r="B281" s="1">
        <v>45483</v>
      </c>
      <c r="C281" t="s">
        <v>24</v>
      </c>
      <c r="D281" t="s">
        <v>25</v>
      </c>
      <c r="E281" t="s">
        <v>29</v>
      </c>
      <c r="F281">
        <v>13807</v>
      </c>
      <c r="G281" t="s">
        <v>30</v>
      </c>
      <c r="H281" t="s">
        <v>42</v>
      </c>
      <c r="I281">
        <v>1</v>
      </c>
      <c r="J281" t="s">
        <v>18</v>
      </c>
      <c r="K281" t="s">
        <v>17</v>
      </c>
    </row>
    <row r="282" spans="1:11" x14ac:dyDescent="0.3">
      <c r="A282" t="s">
        <v>316</v>
      </c>
      <c r="B282" s="1">
        <v>45117</v>
      </c>
      <c r="C282" t="s">
        <v>24</v>
      </c>
      <c r="D282" t="s">
        <v>33</v>
      </c>
      <c r="E282" t="s">
        <v>46</v>
      </c>
      <c r="F282">
        <v>35667</v>
      </c>
      <c r="G282" t="s">
        <v>26</v>
      </c>
      <c r="H282" t="s">
        <v>16</v>
      </c>
      <c r="I282">
        <v>0</v>
      </c>
      <c r="J282" t="s">
        <v>17</v>
      </c>
      <c r="K282" t="s">
        <v>18</v>
      </c>
    </row>
    <row r="283" spans="1:11" x14ac:dyDescent="0.3">
      <c r="A283" t="s">
        <v>317</v>
      </c>
      <c r="B283" s="1">
        <v>45362</v>
      </c>
      <c r="C283" t="s">
        <v>20</v>
      </c>
      <c r="D283" t="s">
        <v>41</v>
      </c>
      <c r="E283" t="s">
        <v>29</v>
      </c>
      <c r="F283">
        <v>9285</v>
      </c>
      <c r="G283" t="s">
        <v>15</v>
      </c>
      <c r="H283" t="s">
        <v>16</v>
      </c>
      <c r="I283">
        <v>1</v>
      </c>
      <c r="J283" t="s">
        <v>18</v>
      </c>
      <c r="K283" t="s">
        <v>17</v>
      </c>
    </row>
    <row r="284" spans="1:11" x14ac:dyDescent="0.3">
      <c r="A284" t="s">
        <v>318</v>
      </c>
      <c r="B284" s="1">
        <v>45820</v>
      </c>
      <c r="C284" t="s">
        <v>24</v>
      </c>
      <c r="D284" t="s">
        <v>33</v>
      </c>
      <c r="E284" t="s">
        <v>46</v>
      </c>
      <c r="F284">
        <v>41987</v>
      </c>
      <c r="G284" t="s">
        <v>15</v>
      </c>
      <c r="H284" t="s">
        <v>36</v>
      </c>
      <c r="I284">
        <v>0</v>
      </c>
      <c r="J284" t="s">
        <v>18</v>
      </c>
      <c r="K284" t="s">
        <v>17</v>
      </c>
    </row>
    <row r="285" spans="1:11" x14ac:dyDescent="0.3">
      <c r="A285" t="s">
        <v>319</v>
      </c>
      <c r="B285" s="1">
        <v>45441</v>
      </c>
      <c r="C285" t="s">
        <v>20</v>
      </c>
      <c r="D285" t="s">
        <v>13</v>
      </c>
      <c r="E285" t="s">
        <v>12</v>
      </c>
      <c r="F285">
        <v>194771</v>
      </c>
      <c r="G285" t="s">
        <v>49</v>
      </c>
      <c r="H285" t="s">
        <v>42</v>
      </c>
      <c r="I285">
        <v>2</v>
      </c>
      <c r="J285" t="s">
        <v>17</v>
      </c>
      <c r="K285" t="s">
        <v>18</v>
      </c>
    </row>
    <row r="286" spans="1:11" x14ac:dyDescent="0.3">
      <c r="A286" t="s">
        <v>320</v>
      </c>
      <c r="B286" s="1">
        <v>45426</v>
      </c>
      <c r="C286" t="s">
        <v>12</v>
      </c>
      <c r="D286" t="s">
        <v>13</v>
      </c>
      <c r="E286" t="s">
        <v>46</v>
      </c>
      <c r="F286">
        <v>28064</v>
      </c>
      <c r="G286" t="s">
        <v>49</v>
      </c>
      <c r="H286" t="s">
        <v>16</v>
      </c>
      <c r="I286">
        <v>5</v>
      </c>
      <c r="J286" t="s">
        <v>18</v>
      </c>
      <c r="K286" t="s">
        <v>17</v>
      </c>
    </row>
    <row r="287" spans="1:11" x14ac:dyDescent="0.3">
      <c r="A287" t="s">
        <v>321</v>
      </c>
      <c r="B287" s="1">
        <v>45224</v>
      </c>
      <c r="C287" t="s">
        <v>24</v>
      </c>
      <c r="D287" t="s">
        <v>39</v>
      </c>
      <c r="E287" t="s">
        <v>29</v>
      </c>
      <c r="F287">
        <v>12910</v>
      </c>
      <c r="G287" t="s">
        <v>15</v>
      </c>
      <c r="H287" t="s">
        <v>42</v>
      </c>
      <c r="I287">
        <v>2</v>
      </c>
      <c r="J287" t="s">
        <v>17</v>
      </c>
      <c r="K287" t="s">
        <v>18</v>
      </c>
    </row>
    <row r="288" spans="1:11" x14ac:dyDescent="0.3">
      <c r="A288" t="s">
        <v>322</v>
      </c>
      <c r="B288" s="1">
        <v>45560</v>
      </c>
      <c r="C288" t="s">
        <v>20</v>
      </c>
      <c r="D288" t="s">
        <v>25</v>
      </c>
      <c r="E288" t="s">
        <v>29</v>
      </c>
      <c r="F288">
        <v>11025</v>
      </c>
      <c r="G288" t="s">
        <v>30</v>
      </c>
      <c r="H288" t="s">
        <v>16</v>
      </c>
      <c r="I288">
        <v>1</v>
      </c>
      <c r="J288" t="s">
        <v>17</v>
      </c>
      <c r="K288" t="s">
        <v>18</v>
      </c>
    </row>
    <row r="289" spans="1:11" x14ac:dyDescent="0.3">
      <c r="A289" t="s">
        <v>323</v>
      </c>
      <c r="B289" s="1">
        <v>45126</v>
      </c>
      <c r="C289" t="s">
        <v>24</v>
      </c>
      <c r="D289" t="s">
        <v>13</v>
      </c>
      <c r="E289" t="s">
        <v>29</v>
      </c>
      <c r="F289">
        <v>7684</v>
      </c>
      <c r="G289" t="s">
        <v>22</v>
      </c>
      <c r="H289" t="s">
        <v>16</v>
      </c>
      <c r="I289">
        <v>5</v>
      </c>
      <c r="J289" t="s">
        <v>18</v>
      </c>
      <c r="K289" t="s">
        <v>17</v>
      </c>
    </row>
    <row r="290" spans="1:11" x14ac:dyDescent="0.3">
      <c r="A290" t="s">
        <v>324</v>
      </c>
      <c r="B290" s="1">
        <v>45188</v>
      </c>
      <c r="C290" t="s">
        <v>24</v>
      </c>
      <c r="D290" t="s">
        <v>25</v>
      </c>
      <c r="E290" t="s">
        <v>29</v>
      </c>
      <c r="F290">
        <v>7886</v>
      </c>
      <c r="G290" t="s">
        <v>34</v>
      </c>
      <c r="H290" t="s">
        <v>31</v>
      </c>
      <c r="I290">
        <v>2</v>
      </c>
      <c r="J290" t="s">
        <v>18</v>
      </c>
      <c r="K290" t="s">
        <v>17</v>
      </c>
    </row>
    <row r="291" spans="1:11" x14ac:dyDescent="0.3">
      <c r="A291" t="s">
        <v>325</v>
      </c>
      <c r="B291" s="1">
        <v>45251</v>
      </c>
      <c r="C291" t="s">
        <v>12</v>
      </c>
      <c r="D291" t="s">
        <v>41</v>
      </c>
      <c r="E291" t="s">
        <v>14</v>
      </c>
      <c r="F291">
        <v>0</v>
      </c>
      <c r="G291" t="s">
        <v>34</v>
      </c>
      <c r="H291" t="s">
        <v>27</v>
      </c>
      <c r="I291">
        <v>2</v>
      </c>
      <c r="J291" t="s">
        <v>17</v>
      </c>
      <c r="K291" t="s">
        <v>18</v>
      </c>
    </row>
    <row r="292" spans="1:11" x14ac:dyDescent="0.3">
      <c r="A292" t="s">
        <v>326</v>
      </c>
      <c r="B292" s="1">
        <v>45060</v>
      </c>
      <c r="C292" t="s">
        <v>24</v>
      </c>
      <c r="D292" t="s">
        <v>39</v>
      </c>
      <c r="E292" t="s">
        <v>14</v>
      </c>
      <c r="F292">
        <v>0</v>
      </c>
      <c r="G292" t="s">
        <v>34</v>
      </c>
      <c r="H292" t="s">
        <v>16</v>
      </c>
      <c r="I292">
        <v>5</v>
      </c>
      <c r="J292" t="s">
        <v>17</v>
      </c>
      <c r="K292" t="s">
        <v>18</v>
      </c>
    </row>
    <row r="293" spans="1:11" x14ac:dyDescent="0.3">
      <c r="A293" t="s">
        <v>327</v>
      </c>
      <c r="B293" s="1">
        <v>45648</v>
      </c>
      <c r="C293" t="s">
        <v>24</v>
      </c>
      <c r="D293" t="s">
        <v>25</v>
      </c>
      <c r="E293" t="s">
        <v>14</v>
      </c>
      <c r="F293">
        <v>0</v>
      </c>
      <c r="G293" t="s">
        <v>34</v>
      </c>
      <c r="H293" t="s">
        <v>16</v>
      </c>
      <c r="I293">
        <v>2</v>
      </c>
      <c r="J293" t="s">
        <v>17</v>
      </c>
      <c r="K293" t="s">
        <v>18</v>
      </c>
    </row>
    <row r="294" spans="1:11" x14ac:dyDescent="0.3">
      <c r="A294" t="s">
        <v>328</v>
      </c>
      <c r="B294" s="1">
        <v>45241</v>
      </c>
      <c r="C294" t="s">
        <v>24</v>
      </c>
      <c r="D294" t="s">
        <v>25</v>
      </c>
      <c r="E294" t="s">
        <v>29</v>
      </c>
      <c r="F294">
        <v>14715</v>
      </c>
      <c r="G294" t="s">
        <v>22</v>
      </c>
      <c r="H294" t="s">
        <v>42</v>
      </c>
      <c r="I294">
        <v>4</v>
      </c>
      <c r="J294" t="s">
        <v>18</v>
      </c>
      <c r="K294" t="s">
        <v>17</v>
      </c>
    </row>
    <row r="295" spans="1:11" x14ac:dyDescent="0.3">
      <c r="A295" t="s">
        <v>329</v>
      </c>
      <c r="B295" s="1">
        <v>45911</v>
      </c>
      <c r="C295" t="s">
        <v>12</v>
      </c>
      <c r="D295" t="s">
        <v>41</v>
      </c>
      <c r="E295" t="s">
        <v>29</v>
      </c>
      <c r="F295">
        <v>9558</v>
      </c>
      <c r="G295" t="s">
        <v>26</v>
      </c>
      <c r="H295" t="s">
        <v>31</v>
      </c>
      <c r="I295">
        <v>4</v>
      </c>
      <c r="J295" t="s">
        <v>18</v>
      </c>
      <c r="K295" t="s">
        <v>17</v>
      </c>
    </row>
    <row r="296" spans="1:11" x14ac:dyDescent="0.3">
      <c r="A296" t="s">
        <v>330</v>
      </c>
      <c r="B296" s="1">
        <v>45283</v>
      </c>
      <c r="C296" t="s">
        <v>12</v>
      </c>
      <c r="D296" t="s">
        <v>33</v>
      </c>
      <c r="E296" t="s">
        <v>46</v>
      </c>
      <c r="F296">
        <v>37024</v>
      </c>
      <c r="G296" t="s">
        <v>34</v>
      </c>
      <c r="H296" t="s">
        <v>27</v>
      </c>
      <c r="I296">
        <v>4</v>
      </c>
      <c r="J296" t="s">
        <v>18</v>
      </c>
      <c r="K296" t="s">
        <v>17</v>
      </c>
    </row>
    <row r="297" spans="1:11" x14ac:dyDescent="0.3">
      <c r="A297" t="s">
        <v>331</v>
      </c>
      <c r="B297" s="1">
        <v>45460</v>
      </c>
      <c r="C297" t="s">
        <v>20</v>
      </c>
      <c r="D297" t="s">
        <v>13</v>
      </c>
      <c r="E297" t="s">
        <v>46</v>
      </c>
      <c r="F297">
        <v>25617</v>
      </c>
      <c r="G297" t="s">
        <v>49</v>
      </c>
      <c r="H297" t="s">
        <v>27</v>
      </c>
      <c r="I297">
        <v>5</v>
      </c>
      <c r="J297" t="s">
        <v>18</v>
      </c>
      <c r="K297" t="s">
        <v>17</v>
      </c>
    </row>
    <row r="298" spans="1:11" x14ac:dyDescent="0.3">
      <c r="A298" t="s">
        <v>332</v>
      </c>
      <c r="B298" s="1">
        <v>45864</v>
      </c>
      <c r="C298" t="s">
        <v>20</v>
      </c>
      <c r="D298" t="s">
        <v>21</v>
      </c>
      <c r="E298" t="s">
        <v>14</v>
      </c>
      <c r="F298">
        <v>0</v>
      </c>
      <c r="G298" t="s">
        <v>30</v>
      </c>
      <c r="H298" t="s">
        <v>36</v>
      </c>
      <c r="I298">
        <v>5</v>
      </c>
      <c r="J298" t="s">
        <v>17</v>
      </c>
      <c r="K298" t="s">
        <v>18</v>
      </c>
    </row>
    <row r="299" spans="1:11" x14ac:dyDescent="0.3">
      <c r="A299" t="s">
        <v>333</v>
      </c>
      <c r="B299" s="1">
        <v>45209</v>
      </c>
      <c r="C299" t="s">
        <v>24</v>
      </c>
      <c r="D299" t="s">
        <v>13</v>
      </c>
      <c r="E299" t="s">
        <v>12</v>
      </c>
      <c r="F299">
        <v>244567</v>
      </c>
      <c r="G299" t="s">
        <v>34</v>
      </c>
      <c r="H299" t="s">
        <v>31</v>
      </c>
      <c r="I299">
        <v>0</v>
      </c>
      <c r="J299" t="s">
        <v>18</v>
      </c>
      <c r="K299" t="s">
        <v>17</v>
      </c>
    </row>
    <row r="300" spans="1:11" x14ac:dyDescent="0.3">
      <c r="A300" t="s">
        <v>334</v>
      </c>
      <c r="B300" s="1">
        <v>45152</v>
      </c>
      <c r="C300" t="s">
        <v>24</v>
      </c>
      <c r="D300" t="s">
        <v>25</v>
      </c>
      <c r="E300" t="s">
        <v>29</v>
      </c>
      <c r="F300">
        <v>15690</v>
      </c>
      <c r="G300" t="s">
        <v>30</v>
      </c>
      <c r="H300" t="s">
        <v>42</v>
      </c>
      <c r="I300">
        <v>5</v>
      </c>
      <c r="J300" t="s">
        <v>18</v>
      </c>
      <c r="K300" t="s">
        <v>17</v>
      </c>
    </row>
    <row r="301" spans="1:11" x14ac:dyDescent="0.3">
      <c r="A301" t="s">
        <v>335</v>
      </c>
      <c r="B301" s="1">
        <v>45648</v>
      </c>
      <c r="C301" t="s">
        <v>12</v>
      </c>
      <c r="D301" t="s">
        <v>21</v>
      </c>
      <c r="E301" t="s">
        <v>29</v>
      </c>
      <c r="F301">
        <v>9763</v>
      </c>
      <c r="G301" t="s">
        <v>34</v>
      </c>
      <c r="H301" t="s">
        <v>16</v>
      </c>
      <c r="I301">
        <v>3</v>
      </c>
      <c r="J301" t="s">
        <v>18</v>
      </c>
      <c r="K301" t="s">
        <v>17</v>
      </c>
    </row>
    <row r="302" spans="1:11" x14ac:dyDescent="0.3">
      <c r="A302" t="s">
        <v>336</v>
      </c>
      <c r="B302" s="1">
        <v>45487</v>
      </c>
      <c r="C302" t="s">
        <v>20</v>
      </c>
      <c r="D302" t="s">
        <v>25</v>
      </c>
      <c r="E302" t="s">
        <v>12</v>
      </c>
      <c r="F302">
        <v>184653</v>
      </c>
      <c r="G302" t="s">
        <v>22</v>
      </c>
      <c r="H302" t="s">
        <v>42</v>
      </c>
      <c r="I302">
        <v>5</v>
      </c>
      <c r="J302" t="s">
        <v>18</v>
      </c>
      <c r="K302" t="s">
        <v>17</v>
      </c>
    </row>
    <row r="303" spans="1:11" x14ac:dyDescent="0.3">
      <c r="A303" t="s">
        <v>337</v>
      </c>
      <c r="B303" s="1">
        <v>45527</v>
      </c>
      <c r="C303" t="s">
        <v>24</v>
      </c>
      <c r="D303" t="s">
        <v>21</v>
      </c>
      <c r="E303" t="s">
        <v>14</v>
      </c>
      <c r="F303">
        <v>0</v>
      </c>
      <c r="G303" t="s">
        <v>34</v>
      </c>
      <c r="H303" t="s">
        <v>36</v>
      </c>
      <c r="I303">
        <v>3</v>
      </c>
      <c r="J303" t="s">
        <v>18</v>
      </c>
      <c r="K303" t="s">
        <v>17</v>
      </c>
    </row>
    <row r="304" spans="1:11" x14ac:dyDescent="0.3">
      <c r="A304" t="s">
        <v>338</v>
      </c>
      <c r="B304" s="1">
        <v>45015</v>
      </c>
      <c r="C304" t="s">
        <v>20</v>
      </c>
      <c r="D304" t="s">
        <v>33</v>
      </c>
      <c r="E304" t="s">
        <v>29</v>
      </c>
      <c r="F304">
        <v>8560</v>
      </c>
      <c r="G304" t="s">
        <v>30</v>
      </c>
      <c r="H304" t="s">
        <v>31</v>
      </c>
      <c r="I304">
        <v>5</v>
      </c>
      <c r="J304" t="s">
        <v>18</v>
      </c>
      <c r="K304" t="s">
        <v>17</v>
      </c>
    </row>
    <row r="305" spans="1:11" x14ac:dyDescent="0.3">
      <c r="A305" t="s">
        <v>339</v>
      </c>
      <c r="B305" s="1">
        <v>44957</v>
      </c>
      <c r="C305" t="s">
        <v>20</v>
      </c>
      <c r="D305" t="s">
        <v>33</v>
      </c>
      <c r="E305" t="s">
        <v>46</v>
      </c>
      <c r="F305">
        <v>26040</v>
      </c>
      <c r="G305" t="s">
        <v>22</v>
      </c>
      <c r="H305" t="s">
        <v>16</v>
      </c>
      <c r="I305">
        <v>1</v>
      </c>
      <c r="J305" t="s">
        <v>18</v>
      </c>
      <c r="K305" t="s">
        <v>17</v>
      </c>
    </row>
    <row r="306" spans="1:11" x14ac:dyDescent="0.3">
      <c r="A306" t="s">
        <v>340</v>
      </c>
      <c r="B306" s="1">
        <v>45364</v>
      </c>
      <c r="C306" t="s">
        <v>20</v>
      </c>
      <c r="D306" t="s">
        <v>33</v>
      </c>
      <c r="E306" t="s">
        <v>14</v>
      </c>
      <c r="F306">
        <v>0</v>
      </c>
      <c r="G306" t="s">
        <v>26</v>
      </c>
      <c r="H306" t="s">
        <v>31</v>
      </c>
      <c r="I306">
        <v>4</v>
      </c>
      <c r="J306" t="s">
        <v>18</v>
      </c>
      <c r="K306" t="s">
        <v>17</v>
      </c>
    </row>
    <row r="307" spans="1:11" x14ac:dyDescent="0.3">
      <c r="A307" t="s">
        <v>341</v>
      </c>
      <c r="B307" s="1">
        <v>45745</v>
      </c>
      <c r="C307" t="s">
        <v>24</v>
      </c>
      <c r="D307" t="s">
        <v>41</v>
      </c>
      <c r="E307" t="s">
        <v>29</v>
      </c>
      <c r="F307">
        <v>15433</v>
      </c>
      <c r="G307" t="s">
        <v>34</v>
      </c>
      <c r="H307" t="s">
        <v>16</v>
      </c>
      <c r="I307">
        <v>5</v>
      </c>
      <c r="J307" t="s">
        <v>17</v>
      </c>
      <c r="K307" t="s">
        <v>18</v>
      </c>
    </row>
    <row r="308" spans="1:11" x14ac:dyDescent="0.3">
      <c r="A308" t="s">
        <v>342</v>
      </c>
      <c r="B308" s="1">
        <v>45347</v>
      </c>
      <c r="C308" t="s">
        <v>24</v>
      </c>
      <c r="D308" t="s">
        <v>25</v>
      </c>
      <c r="E308" t="s">
        <v>12</v>
      </c>
      <c r="F308">
        <v>120899</v>
      </c>
      <c r="G308" t="s">
        <v>49</v>
      </c>
      <c r="H308" t="s">
        <v>31</v>
      </c>
      <c r="I308">
        <v>1</v>
      </c>
      <c r="J308" t="s">
        <v>18</v>
      </c>
      <c r="K308" t="s">
        <v>17</v>
      </c>
    </row>
    <row r="309" spans="1:11" x14ac:dyDescent="0.3">
      <c r="A309" t="s">
        <v>343</v>
      </c>
      <c r="B309" s="1">
        <v>45737</v>
      </c>
      <c r="C309" t="s">
        <v>12</v>
      </c>
      <c r="D309" t="s">
        <v>33</v>
      </c>
      <c r="E309" t="s">
        <v>29</v>
      </c>
      <c r="F309">
        <v>12784</v>
      </c>
      <c r="G309" t="s">
        <v>34</v>
      </c>
      <c r="H309" t="s">
        <v>42</v>
      </c>
      <c r="I309">
        <v>3</v>
      </c>
      <c r="J309" t="s">
        <v>18</v>
      </c>
      <c r="K309" t="s">
        <v>17</v>
      </c>
    </row>
    <row r="310" spans="1:11" x14ac:dyDescent="0.3">
      <c r="A310" t="s">
        <v>344</v>
      </c>
      <c r="B310" s="1">
        <v>45404</v>
      </c>
      <c r="C310" t="s">
        <v>20</v>
      </c>
      <c r="D310" t="s">
        <v>39</v>
      </c>
      <c r="E310" t="s">
        <v>12</v>
      </c>
      <c r="F310">
        <v>248709</v>
      </c>
      <c r="G310" t="s">
        <v>34</v>
      </c>
      <c r="H310" t="s">
        <v>16</v>
      </c>
      <c r="I310">
        <v>0</v>
      </c>
      <c r="J310" t="s">
        <v>17</v>
      </c>
      <c r="K310" t="s">
        <v>18</v>
      </c>
    </row>
    <row r="311" spans="1:11" x14ac:dyDescent="0.3">
      <c r="A311" t="s">
        <v>345</v>
      </c>
      <c r="B311" s="1">
        <v>45362</v>
      </c>
      <c r="C311" t="s">
        <v>12</v>
      </c>
      <c r="D311" t="s">
        <v>41</v>
      </c>
      <c r="E311" t="s">
        <v>14</v>
      </c>
      <c r="F311">
        <v>0</v>
      </c>
      <c r="G311" t="s">
        <v>26</v>
      </c>
      <c r="H311" t="s">
        <v>42</v>
      </c>
      <c r="I311">
        <v>5</v>
      </c>
      <c r="J311" t="s">
        <v>17</v>
      </c>
      <c r="K311" t="s">
        <v>18</v>
      </c>
    </row>
    <row r="312" spans="1:11" x14ac:dyDescent="0.3">
      <c r="A312" t="s">
        <v>346</v>
      </c>
      <c r="B312" s="1">
        <v>45746</v>
      </c>
      <c r="C312" t="s">
        <v>20</v>
      </c>
      <c r="D312" t="s">
        <v>13</v>
      </c>
      <c r="E312" t="s">
        <v>14</v>
      </c>
      <c r="F312">
        <v>0</v>
      </c>
      <c r="G312" t="s">
        <v>15</v>
      </c>
      <c r="H312" t="s">
        <v>42</v>
      </c>
      <c r="I312">
        <v>4</v>
      </c>
      <c r="J312" t="s">
        <v>18</v>
      </c>
      <c r="K312" t="s">
        <v>17</v>
      </c>
    </row>
    <row r="313" spans="1:11" x14ac:dyDescent="0.3">
      <c r="A313" t="s">
        <v>347</v>
      </c>
      <c r="B313" s="1">
        <v>45792</v>
      </c>
      <c r="C313" t="s">
        <v>24</v>
      </c>
      <c r="D313" t="s">
        <v>13</v>
      </c>
      <c r="E313" t="s">
        <v>29</v>
      </c>
      <c r="F313">
        <v>16971</v>
      </c>
      <c r="G313" t="s">
        <v>49</v>
      </c>
      <c r="H313" t="s">
        <v>36</v>
      </c>
      <c r="I313">
        <v>1</v>
      </c>
      <c r="J313" t="s">
        <v>17</v>
      </c>
      <c r="K313" t="s">
        <v>18</v>
      </c>
    </row>
    <row r="314" spans="1:11" x14ac:dyDescent="0.3">
      <c r="A314" t="s">
        <v>348</v>
      </c>
      <c r="B314" s="1">
        <v>45096</v>
      </c>
      <c r="C314" t="s">
        <v>20</v>
      </c>
      <c r="D314" t="s">
        <v>25</v>
      </c>
      <c r="E314" t="s">
        <v>12</v>
      </c>
      <c r="F314">
        <v>209810</v>
      </c>
      <c r="G314" t="s">
        <v>26</v>
      </c>
      <c r="H314" t="s">
        <v>16</v>
      </c>
      <c r="I314">
        <v>1</v>
      </c>
      <c r="J314" t="s">
        <v>18</v>
      </c>
      <c r="K314" t="s">
        <v>17</v>
      </c>
    </row>
    <row r="315" spans="1:11" x14ac:dyDescent="0.3">
      <c r="A315" t="s">
        <v>349</v>
      </c>
      <c r="B315" s="1">
        <v>45596</v>
      </c>
      <c r="C315" t="s">
        <v>24</v>
      </c>
      <c r="D315" t="s">
        <v>25</v>
      </c>
      <c r="E315" t="s">
        <v>14</v>
      </c>
      <c r="F315">
        <v>0</v>
      </c>
      <c r="G315" t="s">
        <v>49</v>
      </c>
      <c r="H315" t="s">
        <v>16</v>
      </c>
      <c r="I315">
        <v>3</v>
      </c>
      <c r="J315" t="s">
        <v>18</v>
      </c>
      <c r="K315" t="s">
        <v>17</v>
      </c>
    </row>
    <row r="316" spans="1:11" x14ac:dyDescent="0.3">
      <c r="A316" t="s">
        <v>350</v>
      </c>
      <c r="B316" s="1">
        <v>45235</v>
      </c>
      <c r="C316" t="s">
        <v>20</v>
      </c>
      <c r="D316" t="s">
        <v>39</v>
      </c>
      <c r="E316" t="s">
        <v>29</v>
      </c>
      <c r="F316">
        <v>8223</v>
      </c>
      <c r="G316" t="s">
        <v>22</v>
      </c>
      <c r="H316" t="s">
        <v>16</v>
      </c>
      <c r="I316">
        <v>3</v>
      </c>
      <c r="J316" t="s">
        <v>18</v>
      </c>
      <c r="K316" t="s">
        <v>17</v>
      </c>
    </row>
    <row r="317" spans="1:11" x14ac:dyDescent="0.3">
      <c r="A317" t="s">
        <v>351</v>
      </c>
      <c r="B317" s="1">
        <v>45638</v>
      </c>
      <c r="C317" t="s">
        <v>24</v>
      </c>
      <c r="D317" t="s">
        <v>41</v>
      </c>
      <c r="E317" t="s">
        <v>12</v>
      </c>
      <c r="F317">
        <v>150950</v>
      </c>
      <c r="G317" t="s">
        <v>49</v>
      </c>
      <c r="H317" t="s">
        <v>36</v>
      </c>
      <c r="I317">
        <v>4</v>
      </c>
      <c r="J317" t="s">
        <v>18</v>
      </c>
      <c r="K317" t="s">
        <v>17</v>
      </c>
    </row>
    <row r="318" spans="1:11" x14ac:dyDescent="0.3">
      <c r="A318" t="s">
        <v>352</v>
      </c>
      <c r="B318" s="1">
        <v>44934</v>
      </c>
      <c r="C318" t="s">
        <v>12</v>
      </c>
      <c r="D318" t="s">
        <v>21</v>
      </c>
      <c r="E318" t="s">
        <v>14</v>
      </c>
      <c r="F318">
        <v>0</v>
      </c>
      <c r="G318" t="s">
        <v>26</v>
      </c>
      <c r="H318" t="s">
        <v>27</v>
      </c>
      <c r="I318">
        <v>2</v>
      </c>
      <c r="J318" t="s">
        <v>17</v>
      </c>
      <c r="K318" t="s">
        <v>18</v>
      </c>
    </row>
    <row r="319" spans="1:11" x14ac:dyDescent="0.3">
      <c r="A319" t="s">
        <v>353</v>
      </c>
      <c r="B319" s="1">
        <v>45005</v>
      </c>
      <c r="C319" t="s">
        <v>20</v>
      </c>
      <c r="D319" t="s">
        <v>41</v>
      </c>
      <c r="E319" t="s">
        <v>46</v>
      </c>
      <c r="F319">
        <v>53935</v>
      </c>
      <c r="G319" t="s">
        <v>34</v>
      </c>
      <c r="H319" t="s">
        <v>27</v>
      </c>
      <c r="I319">
        <v>0</v>
      </c>
      <c r="J319" t="s">
        <v>18</v>
      </c>
      <c r="K319" t="s">
        <v>17</v>
      </c>
    </row>
    <row r="320" spans="1:11" x14ac:dyDescent="0.3">
      <c r="A320" t="s">
        <v>354</v>
      </c>
      <c r="B320" s="1">
        <v>45372</v>
      </c>
      <c r="C320" t="s">
        <v>12</v>
      </c>
      <c r="D320" t="s">
        <v>33</v>
      </c>
      <c r="E320" t="s">
        <v>29</v>
      </c>
      <c r="F320">
        <v>12595</v>
      </c>
      <c r="G320" t="s">
        <v>22</v>
      </c>
      <c r="H320" t="s">
        <v>42</v>
      </c>
      <c r="I320">
        <v>1</v>
      </c>
      <c r="J320" t="s">
        <v>18</v>
      </c>
      <c r="K320" t="s">
        <v>17</v>
      </c>
    </row>
    <row r="321" spans="1:11" x14ac:dyDescent="0.3">
      <c r="A321" t="s">
        <v>355</v>
      </c>
      <c r="B321" s="1">
        <v>45738</v>
      </c>
      <c r="C321" t="s">
        <v>12</v>
      </c>
      <c r="D321" t="s">
        <v>39</v>
      </c>
      <c r="E321" t="s">
        <v>46</v>
      </c>
      <c r="F321">
        <v>54364</v>
      </c>
      <c r="G321" t="s">
        <v>26</v>
      </c>
      <c r="H321" t="s">
        <v>36</v>
      </c>
      <c r="I321">
        <v>0</v>
      </c>
      <c r="J321" t="s">
        <v>17</v>
      </c>
      <c r="K321" t="s">
        <v>18</v>
      </c>
    </row>
    <row r="322" spans="1:11" x14ac:dyDescent="0.3">
      <c r="A322" t="s">
        <v>356</v>
      </c>
      <c r="B322" s="1">
        <v>45062</v>
      </c>
      <c r="C322" t="s">
        <v>24</v>
      </c>
      <c r="D322" t="s">
        <v>41</v>
      </c>
      <c r="E322" t="s">
        <v>29</v>
      </c>
      <c r="F322">
        <v>12095</v>
      </c>
      <c r="G322" t="s">
        <v>34</v>
      </c>
      <c r="H322" t="s">
        <v>27</v>
      </c>
      <c r="I322">
        <v>0</v>
      </c>
      <c r="J322" t="s">
        <v>18</v>
      </c>
      <c r="K322" t="s">
        <v>17</v>
      </c>
    </row>
    <row r="323" spans="1:11" x14ac:dyDescent="0.3">
      <c r="A323" t="s">
        <v>357</v>
      </c>
      <c r="B323" s="1">
        <v>45213</v>
      </c>
      <c r="C323" t="s">
        <v>20</v>
      </c>
      <c r="D323" t="s">
        <v>13</v>
      </c>
      <c r="E323" t="s">
        <v>29</v>
      </c>
      <c r="F323">
        <v>15032</v>
      </c>
      <c r="G323" t="s">
        <v>49</v>
      </c>
      <c r="H323" t="s">
        <v>16</v>
      </c>
      <c r="I323">
        <v>3</v>
      </c>
      <c r="J323" t="s">
        <v>17</v>
      </c>
      <c r="K323" t="s">
        <v>18</v>
      </c>
    </row>
    <row r="324" spans="1:11" x14ac:dyDescent="0.3">
      <c r="A324" t="s">
        <v>358</v>
      </c>
      <c r="B324" s="1">
        <v>45558</v>
      </c>
      <c r="C324" t="s">
        <v>24</v>
      </c>
      <c r="D324" t="s">
        <v>39</v>
      </c>
      <c r="E324" t="s">
        <v>14</v>
      </c>
      <c r="F324">
        <v>0</v>
      </c>
      <c r="G324" t="s">
        <v>30</v>
      </c>
      <c r="H324" t="s">
        <v>16</v>
      </c>
      <c r="I324">
        <v>4</v>
      </c>
      <c r="J324" t="s">
        <v>18</v>
      </c>
      <c r="K324" t="s">
        <v>17</v>
      </c>
    </row>
    <row r="325" spans="1:11" x14ac:dyDescent="0.3">
      <c r="A325" t="s">
        <v>359</v>
      </c>
      <c r="B325" s="1">
        <v>45724</v>
      </c>
      <c r="C325" t="s">
        <v>20</v>
      </c>
      <c r="D325" t="s">
        <v>39</v>
      </c>
      <c r="E325" t="s">
        <v>14</v>
      </c>
      <c r="F325">
        <v>0</v>
      </c>
      <c r="G325" t="s">
        <v>22</v>
      </c>
      <c r="H325" t="s">
        <v>36</v>
      </c>
      <c r="I325">
        <v>0</v>
      </c>
      <c r="J325" t="s">
        <v>18</v>
      </c>
      <c r="K325" t="s">
        <v>17</v>
      </c>
    </row>
    <row r="326" spans="1:11" x14ac:dyDescent="0.3">
      <c r="A326" t="s">
        <v>360</v>
      </c>
      <c r="B326" s="1">
        <v>45796</v>
      </c>
      <c r="C326" t="s">
        <v>20</v>
      </c>
      <c r="D326" t="s">
        <v>33</v>
      </c>
      <c r="E326" t="s">
        <v>12</v>
      </c>
      <c r="F326">
        <v>237940</v>
      </c>
      <c r="G326" t="s">
        <v>15</v>
      </c>
      <c r="H326" t="s">
        <v>36</v>
      </c>
      <c r="I326">
        <v>5</v>
      </c>
      <c r="J326" t="s">
        <v>18</v>
      </c>
      <c r="K326" t="s">
        <v>17</v>
      </c>
    </row>
    <row r="327" spans="1:11" x14ac:dyDescent="0.3">
      <c r="A327" t="s">
        <v>361</v>
      </c>
      <c r="B327" s="1">
        <v>45393</v>
      </c>
      <c r="C327" t="s">
        <v>24</v>
      </c>
      <c r="D327" t="s">
        <v>21</v>
      </c>
      <c r="E327" t="s">
        <v>29</v>
      </c>
      <c r="F327">
        <v>17900</v>
      </c>
      <c r="G327" t="s">
        <v>26</v>
      </c>
      <c r="H327" t="s">
        <v>16</v>
      </c>
      <c r="I327">
        <v>0</v>
      </c>
      <c r="J327" t="s">
        <v>18</v>
      </c>
      <c r="K327" t="s">
        <v>17</v>
      </c>
    </row>
    <row r="328" spans="1:11" x14ac:dyDescent="0.3">
      <c r="A328" t="s">
        <v>362</v>
      </c>
      <c r="B328" s="1">
        <v>45533</v>
      </c>
      <c r="C328" t="s">
        <v>24</v>
      </c>
      <c r="D328" t="s">
        <v>33</v>
      </c>
      <c r="E328" t="s">
        <v>46</v>
      </c>
      <c r="F328">
        <v>32380</v>
      </c>
      <c r="G328" t="s">
        <v>34</v>
      </c>
      <c r="H328" t="s">
        <v>27</v>
      </c>
      <c r="I328">
        <v>1</v>
      </c>
      <c r="J328" t="s">
        <v>18</v>
      </c>
      <c r="K328" t="s">
        <v>17</v>
      </c>
    </row>
    <row r="329" spans="1:11" x14ac:dyDescent="0.3">
      <c r="A329" t="s">
        <v>363</v>
      </c>
      <c r="B329" s="1">
        <v>45285</v>
      </c>
      <c r="C329" t="s">
        <v>12</v>
      </c>
      <c r="D329" t="s">
        <v>21</v>
      </c>
      <c r="E329" t="s">
        <v>46</v>
      </c>
      <c r="F329">
        <v>31284</v>
      </c>
      <c r="G329" t="s">
        <v>49</v>
      </c>
      <c r="H329" t="s">
        <v>42</v>
      </c>
      <c r="I329">
        <v>2</v>
      </c>
      <c r="J329" t="s">
        <v>18</v>
      </c>
      <c r="K329" t="s">
        <v>17</v>
      </c>
    </row>
    <row r="330" spans="1:11" x14ac:dyDescent="0.3">
      <c r="A330" t="s">
        <v>364</v>
      </c>
      <c r="B330" s="1">
        <v>45266</v>
      </c>
      <c r="C330" t="s">
        <v>12</v>
      </c>
      <c r="D330" t="s">
        <v>33</v>
      </c>
      <c r="E330" t="s">
        <v>46</v>
      </c>
      <c r="F330">
        <v>44866</v>
      </c>
      <c r="G330" t="s">
        <v>30</v>
      </c>
      <c r="H330" t="s">
        <v>16</v>
      </c>
      <c r="I330">
        <v>4</v>
      </c>
      <c r="J330" t="s">
        <v>18</v>
      </c>
      <c r="K330" t="s">
        <v>17</v>
      </c>
    </row>
    <row r="331" spans="1:11" x14ac:dyDescent="0.3">
      <c r="A331" t="s">
        <v>365</v>
      </c>
      <c r="B331" s="1">
        <v>45565</v>
      </c>
      <c r="C331" t="s">
        <v>20</v>
      </c>
      <c r="D331" t="s">
        <v>21</v>
      </c>
      <c r="E331" t="s">
        <v>29</v>
      </c>
      <c r="F331">
        <v>7757</v>
      </c>
      <c r="G331" t="s">
        <v>22</v>
      </c>
      <c r="H331" t="s">
        <v>42</v>
      </c>
      <c r="I331">
        <v>4</v>
      </c>
      <c r="J331" t="s">
        <v>17</v>
      </c>
      <c r="K331" t="s">
        <v>18</v>
      </c>
    </row>
    <row r="332" spans="1:11" x14ac:dyDescent="0.3">
      <c r="A332" t="s">
        <v>366</v>
      </c>
      <c r="B332" s="1">
        <v>45889</v>
      </c>
      <c r="C332" t="s">
        <v>12</v>
      </c>
      <c r="D332" t="s">
        <v>33</v>
      </c>
      <c r="E332" t="s">
        <v>12</v>
      </c>
      <c r="F332">
        <v>100364</v>
      </c>
      <c r="G332" t="s">
        <v>30</v>
      </c>
      <c r="H332" t="s">
        <v>27</v>
      </c>
      <c r="I332">
        <v>1</v>
      </c>
      <c r="J332" t="s">
        <v>17</v>
      </c>
      <c r="K332" t="s">
        <v>18</v>
      </c>
    </row>
    <row r="333" spans="1:11" x14ac:dyDescent="0.3">
      <c r="A333" t="s">
        <v>367</v>
      </c>
      <c r="B333" s="1">
        <v>45855</v>
      </c>
      <c r="C333" t="s">
        <v>24</v>
      </c>
      <c r="D333" t="s">
        <v>13</v>
      </c>
      <c r="E333" t="s">
        <v>14</v>
      </c>
      <c r="F333">
        <v>0</v>
      </c>
      <c r="G333" t="s">
        <v>34</v>
      </c>
      <c r="H333" t="s">
        <v>27</v>
      </c>
      <c r="I333">
        <v>1</v>
      </c>
      <c r="J333" t="s">
        <v>18</v>
      </c>
      <c r="K333" t="s">
        <v>17</v>
      </c>
    </row>
    <row r="334" spans="1:11" x14ac:dyDescent="0.3">
      <c r="A334" t="s">
        <v>368</v>
      </c>
      <c r="B334" s="1">
        <v>45034</v>
      </c>
      <c r="C334" t="s">
        <v>24</v>
      </c>
      <c r="D334" t="s">
        <v>13</v>
      </c>
      <c r="E334" t="s">
        <v>14</v>
      </c>
      <c r="F334">
        <v>0</v>
      </c>
      <c r="G334" t="s">
        <v>49</v>
      </c>
      <c r="H334" t="s">
        <v>42</v>
      </c>
      <c r="I334">
        <v>0</v>
      </c>
      <c r="J334" t="s">
        <v>18</v>
      </c>
      <c r="K334" t="s">
        <v>17</v>
      </c>
    </row>
    <row r="335" spans="1:11" x14ac:dyDescent="0.3">
      <c r="A335" t="s">
        <v>369</v>
      </c>
      <c r="B335" s="1">
        <v>45157</v>
      </c>
      <c r="C335" t="s">
        <v>20</v>
      </c>
      <c r="D335" t="s">
        <v>21</v>
      </c>
      <c r="E335" t="s">
        <v>46</v>
      </c>
      <c r="F335">
        <v>47148</v>
      </c>
      <c r="G335" t="s">
        <v>34</v>
      </c>
      <c r="H335" t="s">
        <v>16</v>
      </c>
      <c r="I335">
        <v>3</v>
      </c>
      <c r="J335" t="s">
        <v>18</v>
      </c>
      <c r="K335" t="s">
        <v>17</v>
      </c>
    </row>
    <row r="336" spans="1:11" x14ac:dyDescent="0.3">
      <c r="A336" t="s">
        <v>370</v>
      </c>
      <c r="B336" s="1">
        <v>44969</v>
      </c>
      <c r="C336" t="s">
        <v>24</v>
      </c>
      <c r="D336" t="s">
        <v>25</v>
      </c>
      <c r="E336" t="s">
        <v>46</v>
      </c>
      <c r="F336">
        <v>28875</v>
      </c>
      <c r="G336" t="s">
        <v>26</v>
      </c>
      <c r="H336" t="s">
        <v>36</v>
      </c>
      <c r="I336">
        <v>4</v>
      </c>
      <c r="J336" t="s">
        <v>18</v>
      </c>
      <c r="K336" t="s">
        <v>17</v>
      </c>
    </row>
    <row r="337" spans="1:11" x14ac:dyDescent="0.3">
      <c r="A337" t="s">
        <v>371</v>
      </c>
      <c r="B337" s="1">
        <v>45908</v>
      </c>
      <c r="C337" t="s">
        <v>24</v>
      </c>
      <c r="D337" t="s">
        <v>13</v>
      </c>
      <c r="E337" t="s">
        <v>29</v>
      </c>
      <c r="F337">
        <v>11607</v>
      </c>
      <c r="G337" t="s">
        <v>49</v>
      </c>
      <c r="H337" t="s">
        <v>16</v>
      </c>
      <c r="I337">
        <v>5</v>
      </c>
      <c r="J337" t="s">
        <v>18</v>
      </c>
      <c r="K337" t="s">
        <v>17</v>
      </c>
    </row>
    <row r="338" spans="1:11" x14ac:dyDescent="0.3">
      <c r="A338" t="s">
        <v>372</v>
      </c>
      <c r="B338" s="1">
        <v>45424</v>
      </c>
      <c r="C338" t="s">
        <v>12</v>
      </c>
      <c r="D338" t="s">
        <v>21</v>
      </c>
      <c r="E338" t="s">
        <v>29</v>
      </c>
      <c r="F338">
        <v>12528</v>
      </c>
      <c r="G338" t="s">
        <v>26</v>
      </c>
      <c r="H338" t="s">
        <v>27</v>
      </c>
      <c r="I338">
        <v>4</v>
      </c>
      <c r="J338" t="s">
        <v>18</v>
      </c>
      <c r="K338" t="s">
        <v>17</v>
      </c>
    </row>
    <row r="339" spans="1:11" x14ac:dyDescent="0.3">
      <c r="A339" t="s">
        <v>373</v>
      </c>
      <c r="B339" s="1">
        <v>45019</v>
      </c>
      <c r="C339" t="s">
        <v>24</v>
      </c>
      <c r="D339" t="s">
        <v>25</v>
      </c>
      <c r="E339" t="s">
        <v>14</v>
      </c>
      <c r="F339">
        <v>0</v>
      </c>
      <c r="G339" t="s">
        <v>30</v>
      </c>
      <c r="H339" t="s">
        <v>16</v>
      </c>
      <c r="I339">
        <v>0</v>
      </c>
      <c r="J339" t="s">
        <v>18</v>
      </c>
      <c r="K339" t="s">
        <v>17</v>
      </c>
    </row>
    <row r="340" spans="1:11" x14ac:dyDescent="0.3">
      <c r="A340" t="s">
        <v>374</v>
      </c>
      <c r="B340" s="1">
        <v>45292</v>
      </c>
      <c r="C340" t="s">
        <v>12</v>
      </c>
      <c r="D340" t="s">
        <v>21</v>
      </c>
      <c r="E340" t="s">
        <v>14</v>
      </c>
      <c r="F340">
        <v>0</v>
      </c>
      <c r="G340" t="s">
        <v>30</v>
      </c>
      <c r="H340" t="s">
        <v>42</v>
      </c>
      <c r="I340">
        <v>5</v>
      </c>
      <c r="J340" t="s">
        <v>18</v>
      </c>
      <c r="K340" t="s">
        <v>17</v>
      </c>
    </row>
    <row r="341" spans="1:11" x14ac:dyDescent="0.3">
      <c r="A341" t="s">
        <v>375</v>
      </c>
      <c r="B341" s="1">
        <v>45518</v>
      </c>
      <c r="C341" t="s">
        <v>12</v>
      </c>
      <c r="D341" t="s">
        <v>13</v>
      </c>
      <c r="E341" t="s">
        <v>46</v>
      </c>
      <c r="F341">
        <v>34512</v>
      </c>
      <c r="G341" t="s">
        <v>15</v>
      </c>
      <c r="H341" t="s">
        <v>42</v>
      </c>
      <c r="I341">
        <v>3</v>
      </c>
      <c r="J341" t="s">
        <v>18</v>
      </c>
      <c r="K341" t="s">
        <v>17</v>
      </c>
    </row>
    <row r="342" spans="1:11" x14ac:dyDescent="0.3">
      <c r="A342" t="s">
        <v>376</v>
      </c>
      <c r="B342" s="1">
        <v>45786</v>
      </c>
      <c r="C342" t="s">
        <v>24</v>
      </c>
      <c r="D342" t="s">
        <v>33</v>
      </c>
      <c r="E342" t="s">
        <v>12</v>
      </c>
      <c r="F342">
        <v>150188</v>
      </c>
      <c r="G342" t="s">
        <v>30</v>
      </c>
      <c r="H342" t="s">
        <v>42</v>
      </c>
      <c r="I342">
        <v>1</v>
      </c>
      <c r="J342" t="s">
        <v>18</v>
      </c>
      <c r="K342" t="s">
        <v>17</v>
      </c>
    </row>
    <row r="343" spans="1:11" x14ac:dyDescent="0.3">
      <c r="A343" t="s">
        <v>377</v>
      </c>
      <c r="B343" s="1">
        <v>45199</v>
      </c>
      <c r="C343" t="s">
        <v>20</v>
      </c>
      <c r="D343" t="s">
        <v>41</v>
      </c>
      <c r="E343" t="s">
        <v>29</v>
      </c>
      <c r="F343">
        <v>8634</v>
      </c>
      <c r="G343" t="s">
        <v>30</v>
      </c>
      <c r="H343" t="s">
        <v>16</v>
      </c>
      <c r="I343">
        <v>1</v>
      </c>
      <c r="J343" t="s">
        <v>18</v>
      </c>
      <c r="K343" t="s">
        <v>17</v>
      </c>
    </row>
    <row r="344" spans="1:11" x14ac:dyDescent="0.3">
      <c r="A344" t="s">
        <v>378</v>
      </c>
      <c r="B344" s="1">
        <v>45903</v>
      </c>
      <c r="C344" t="s">
        <v>12</v>
      </c>
      <c r="D344" t="s">
        <v>39</v>
      </c>
      <c r="E344" t="s">
        <v>14</v>
      </c>
      <c r="F344">
        <v>0</v>
      </c>
      <c r="G344" t="s">
        <v>26</v>
      </c>
      <c r="H344" t="s">
        <v>27</v>
      </c>
      <c r="I344">
        <v>4</v>
      </c>
      <c r="J344" t="s">
        <v>17</v>
      </c>
      <c r="K344" t="s">
        <v>18</v>
      </c>
    </row>
    <row r="345" spans="1:11" x14ac:dyDescent="0.3">
      <c r="A345" t="s">
        <v>379</v>
      </c>
      <c r="B345" s="1">
        <v>45584</v>
      </c>
      <c r="C345" t="s">
        <v>24</v>
      </c>
      <c r="D345" t="s">
        <v>33</v>
      </c>
      <c r="E345" t="s">
        <v>14</v>
      </c>
      <c r="F345">
        <v>0</v>
      </c>
      <c r="G345" t="s">
        <v>49</v>
      </c>
      <c r="H345" t="s">
        <v>36</v>
      </c>
      <c r="I345">
        <v>1</v>
      </c>
      <c r="J345" t="s">
        <v>18</v>
      </c>
      <c r="K345" t="s">
        <v>17</v>
      </c>
    </row>
    <row r="346" spans="1:11" x14ac:dyDescent="0.3">
      <c r="A346" t="s">
        <v>380</v>
      </c>
      <c r="B346" s="1">
        <v>45664</v>
      </c>
      <c r="C346" t="s">
        <v>20</v>
      </c>
      <c r="D346" t="s">
        <v>25</v>
      </c>
      <c r="E346" t="s">
        <v>46</v>
      </c>
      <c r="F346">
        <v>52725</v>
      </c>
      <c r="G346" t="s">
        <v>49</v>
      </c>
      <c r="H346" t="s">
        <v>27</v>
      </c>
      <c r="I346">
        <v>5</v>
      </c>
      <c r="J346" t="s">
        <v>18</v>
      </c>
      <c r="K346" t="s">
        <v>17</v>
      </c>
    </row>
    <row r="347" spans="1:11" x14ac:dyDescent="0.3">
      <c r="A347" t="s">
        <v>381</v>
      </c>
      <c r="B347" s="1">
        <v>44992</v>
      </c>
      <c r="C347" t="s">
        <v>12</v>
      </c>
      <c r="D347" t="s">
        <v>21</v>
      </c>
      <c r="E347" t="s">
        <v>12</v>
      </c>
      <c r="F347">
        <v>208473</v>
      </c>
      <c r="G347" t="s">
        <v>15</v>
      </c>
      <c r="H347" t="s">
        <v>16</v>
      </c>
      <c r="I347">
        <v>4</v>
      </c>
      <c r="J347" t="s">
        <v>18</v>
      </c>
      <c r="K347" t="s">
        <v>17</v>
      </c>
    </row>
    <row r="348" spans="1:11" x14ac:dyDescent="0.3">
      <c r="A348" t="s">
        <v>382</v>
      </c>
      <c r="B348" s="1">
        <v>45034</v>
      </c>
      <c r="C348" t="s">
        <v>20</v>
      </c>
      <c r="D348" t="s">
        <v>21</v>
      </c>
      <c r="E348" t="s">
        <v>12</v>
      </c>
      <c r="F348">
        <v>145463</v>
      </c>
      <c r="G348" t="s">
        <v>22</v>
      </c>
      <c r="H348" t="s">
        <v>36</v>
      </c>
      <c r="I348">
        <v>3</v>
      </c>
      <c r="J348" t="s">
        <v>17</v>
      </c>
      <c r="K348" t="s">
        <v>18</v>
      </c>
    </row>
    <row r="349" spans="1:11" x14ac:dyDescent="0.3">
      <c r="A349" t="s">
        <v>383</v>
      </c>
      <c r="B349" s="1">
        <v>45395</v>
      </c>
      <c r="C349" t="s">
        <v>12</v>
      </c>
      <c r="D349" t="s">
        <v>33</v>
      </c>
      <c r="E349" t="s">
        <v>12</v>
      </c>
      <c r="F349">
        <v>193215</v>
      </c>
      <c r="G349" t="s">
        <v>34</v>
      </c>
      <c r="H349" t="s">
        <v>36</v>
      </c>
      <c r="I349">
        <v>0</v>
      </c>
      <c r="J349" t="s">
        <v>17</v>
      </c>
      <c r="K349" t="s">
        <v>18</v>
      </c>
    </row>
    <row r="350" spans="1:11" x14ac:dyDescent="0.3">
      <c r="A350" t="s">
        <v>384</v>
      </c>
      <c r="B350" s="1">
        <v>44989</v>
      </c>
      <c r="C350" t="s">
        <v>20</v>
      </c>
      <c r="D350" t="s">
        <v>13</v>
      </c>
      <c r="E350" t="s">
        <v>12</v>
      </c>
      <c r="F350">
        <v>153611</v>
      </c>
      <c r="G350" t="s">
        <v>49</v>
      </c>
      <c r="H350" t="s">
        <v>27</v>
      </c>
      <c r="I350">
        <v>5</v>
      </c>
      <c r="J350" t="s">
        <v>18</v>
      </c>
      <c r="K350" t="s">
        <v>17</v>
      </c>
    </row>
    <row r="351" spans="1:11" x14ac:dyDescent="0.3">
      <c r="A351" t="s">
        <v>385</v>
      </c>
      <c r="B351" s="1">
        <v>45169</v>
      </c>
      <c r="C351" t="s">
        <v>20</v>
      </c>
      <c r="D351" t="s">
        <v>41</v>
      </c>
      <c r="E351" t="s">
        <v>14</v>
      </c>
      <c r="F351">
        <v>0</v>
      </c>
      <c r="G351" t="s">
        <v>49</v>
      </c>
      <c r="H351" t="s">
        <v>27</v>
      </c>
      <c r="I351">
        <v>1</v>
      </c>
      <c r="J351" t="s">
        <v>18</v>
      </c>
      <c r="K351" t="s">
        <v>17</v>
      </c>
    </row>
    <row r="352" spans="1:11" x14ac:dyDescent="0.3">
      <c r="A352" t="s">
        <v>386</v>
      </c>
      <c r="B352" s="1">
        <v>45309</v>
      </c>
      <c r="C352" t="s">
        <v>20</v>
      </c>
      <c r="D352" t="s">
        <v>41</v>
      </c>
      <c r="E352" t="s">
        <v>29</v>
      </c>
      <c r="F352">
        <v>16632</v>
      </c>
      <c r="G352" t="s">
        <v>22</v>
      </c>
      <c r="H352" t="s">
        <v>27</v>
      </c>
      <c r="I352">
        <v>5</v>
      </c>
      <c r="J352" t="s">
        <v>18</v>
      </c>
      <c r="K352" t="s">
        <v>17</v>
      </c>
    </row>
    <row r="353" spans="1:11" x14ac:dyDescent="0.3">
      <c r="A353" t="s">
        <v>387</v>
      </c>
      <c r="B353" s="1">
        <v>44995</v>
      </c>
      <c r="C353" t="s">
        <v>24</v>
      </c>
      <c r="D353" t="s">
        <v>25</v>
      </c>
      <c r="E353" t="s">
        <v>29</v>
      </c>
      <c r="F353">
        <v>10144</v>
      </c>
      <c r="G353" t="s">
        <v>22</v>
      </c>
      <c r="H353" t="s">
        <v>36</v>
      </c>
      <c r="I353">
        <v>5</v>
      </c>
      <c r="J353" t="s">
        <v>18</v>
      </c>
      <c r="K353" t="s">
        <v>17</v>
      </c>
    </row>
    <row r="354" spans="1:11" x14ac:dyDescent="0.3">
      <c r="A354" t="s">
        <v>388</v>
      </c>
      <c r="B354" s="1">
        <v>45136</v>
      </c>
      <c r="C354" t="s">
        <v>12</v>
      </c>
      <c r="D354" t="s">
        <v>41</v>
      </c>
      <c r="E354" t="s">
        <v>12</v>
      </c>
      <c r="F354">
        <v>223536</v>
      </c>
      <c r="G354" t="s">
        <v>15</v>
      </c>
      <c r="H354" t="s">
        <v>31</v>
      </c>
      <c r="I354">
        <v>2</v>
      </c>
      <c r="J354" t="s">
        <v>18</v>
      </c>
      <c r="K354" t="s">
        <v>17</v>
      </c>
    </row>
    <row r="355" spans="1:11" x14ac:dyDescent="0.3">
      <c r="A355" t="s">
        <v>389</v>
      </c>
      <c r="B355" s="1">
        <v>45490</v>
      </c>
      <c r="C355" t="s">
        <v>24</v>
      </c>
      <c r="D355" t="s">
        <v>25</v>
      </c>
      <c r="E355" t="s">
        <v>46</v>
      </c>
      <c r="F355">
        <v>57802</v>
      </c>
      <c r="G355" t="s">
        <v>30</v>
      </c>
      <c r="H355" t="s">
        <v>42</v>
      </c>
      <c r="I355">
        <v>4</v>
      </c>
      <c r="J355" t="s">
        <v>18</v>
      </c>
      <c r="K355" t="s">
        <v>17</v>
      </c>
    </row>
    <row r="356" spans="1:11" x14ac:dyDescent="0.3">
      <c r="A356" t="s">
        <v>390</v>
      </c>
      <c r="B356" s="1">
        <v>45774</v>
      </c>
      <c r="C356" t="s">
        <v>24</v>
      </c>
      <c r="D356" t="s">
        <v>21</v>
      </c>
      <c r="E356" t="s">
        <v>12</v>
      </c>
      <c r="F356">
        <v>103404</v>
      </c>
      <c r="G356" t="s">
        <v>26</v>
      </c>
      <c r="H356" t="s">
        <v>36</v>
      </c>
      <c r="I356">
        <v>5</v>
      </c>
      <c r="J356" t="s">
        <v>17</v>
      </c>
      <c r="K356" t="s">
        <v>18</v>
      </c>
    </row>
    <row r="357" spans="1:11" x14ac:dyDescent="0.3">
      <c r="A357" t="s">
        <v>391</v>
      </c>
      <c r="B357" s="1">
        <v>45494</v>
      </c>
      <c r="C357" t="s">
        <v>20</v>
      </c>
      <c r="D357" t="s">
        <v>33</v>
      </c>
      <c r="E357" t="s">
        <v>46</v>
      </c>
      <c r="F357">
        <v>32343</v>
      </c>
      <c r="G357" t="s">
        <v>22</v>
      </c>
      <c r="H357" t="s">
        <v>16</v>
      </c>
      <c r="I357">
        <v>1</v>
      </c>
      <c r="J357" t="s">
        <v>17</v>
      </c>
      <c r="K357" t="s">
        <v>18</v>
      </c>
    </row>
    <row r="358" spans="1:11" x14ac:dyDescent="0.3">
      <c r="A358" t="s">
        <v>392</v>
      </c>
      <c r="B358" s="1">
        <v>45029</v>
      </c>
      <c r="C358" t="s">
        <v>24</v>
      </c>
      <c r="D358" t="s">
        <v>33</v>
      </c>
      <c r="E358" t="s">
        <v>46</v>
      </c>
      <c r="F358">
        <v>56496</v>
      </c>
      <c r="G358" t="s">
        <v>49</v>
      </c>
      <c r="H358" t="s">
        <v>31</v>
      </c>
      <c r="I358">
        <v>3</v>
      </c>
      <c r="J358" t="s">
        <v>18</v>
      </c>
      <c r="K358" t="s">
        <v>17</v>
      </c>
    </row>
    <row r="359" spans="1:11" x14ac:dyDescent="0.3">
      <c r="A359" t="s">
        <v>393</v>
      </c>
      <c r="B359" s="1">
        <v>45154</v>
      </c>
      <c r="C359" t="s">
        <v>24</v>
      </c>
      <c r="D359" t="s">
        <v>13</v>
      </c>
      <c r="E359" t="s">
        <v>29</v>
      </c>
      <c r="F359">
        <v>13614</v>
      </c>
      <c r="G359" t="s">
        <v>22</v>
      </c>
      <c r="H359" t="s">
        <v>16</v>
      </c>
      <c r="I359">
        <v>4</v>
      </c>
      <c r="J359" t="s">
        <v>18</v>
      </c>
      <c r="K359" t="s">
        <v>17</v>
      </c>
    </row>
    <row r="360" spans="1:11" x14ac:dyDescent="0.3">
      <c r="A360" t="s">
        <v>394</v>
      </c>
      <c r="B360" s="1">
        <v>45240</v>
      </c>
      <c r="C360" t="s">
        <v>20</v>
      </c>
      <c r="D360" t="s">
        <v>33</v>
      </c>
      <c r="E360" t="s">
        <v>14</v>
      </c>
      <c r="F360">
        <v>0</v>
      </c>
      <c r="G360" t="s">
        <v>22</v>
      </c>
      <c r="H360" t="s">
        <v>16</v>
      </c>
      <c r="I360">
        <v>3</v>
      </c>
      <c r="J360" t="s">
        <v>18</v>
      </c>
      <c r="K360" t="s">
        <v>17</v>
      </c>
    </row>
    <row r="361" spans="1:11" x14ac:dyDescent="0.3">
      <c r="A361" t="s">
        <v>395</v>
      </c>
      <c r="B361" s="1">
        <v>45328</v>
      </c>
      <c r="C361" t="s">
        <v>12</v>
      </c>
      <c r="D361" t="s">
        <v>21</v>
      </c>
      <c r="E361" t="s">
        <v>12</v>
      </c>
      <c r="F361">
        <v>177991</v>
      </c>
      <c r="G361" t="s">
        <v>30</v>
      </c>
      <c r="H361" t="s">
        <v>27</v>
      </c>
      <c r="I361">
        <v>0</v>
      </c>
      <c r="J361" t="s">
        <v>17</v>
      </c>
      <c r="K361" t="s">
        <v>18</v>
      </c>
    </row>
    <row r="362" spans="1:11" x14ac:dyDescent="0.3">
      <c r="A362" t="s">
        <v>396</v>
      </c>
      <c r="B362" s="1">
        <v>45540</v>
      </c>
      <c r="C362" t="s">
        <v>20</v>
      </c>
      <c r="D362" t="s">
        <v>41</v>
      </c>
      <c r="E362" t="s">
        <v>46</v>
      </c>
      <c r="F362">
        <v>36272</v>
      </c>
      <c r="G362" t="s">
        <v>26</v>
      </c>
      <c r="H362" t="s">
        <v>31</v>
      </c>
      <c r="I362">
        <v>2</v>
      </c>
      <c r="J362" t="s">
        <v>18</v>
      </c>
      <c r="K362" t="s">
        <v>17</v>
      </c>
    </row>
    <row r="363" spans="1:11" x14ac:dyDescent="0.3">
      <c r="A363" t="s">
        <v>397</v>
      </c>
      <c r="B363" s="1">
        <v>45752</v>
      </c>
      <c r="C363" t="s">
        <v>20</v>
      </c>
      <c r="D363" t="s">
        <v>33</v>
      </c>
      <c r="E363" t="s">
        <v>14</v>
      </c>
      <c r="F363">
        <v>0</v>
      </c>
      <c r="G363" t="s">
        <v>26</v>
      </c>
      <c r="H363" t="s">
        <v>27</v>
      </c>
      <c r="I363">
        <v>4</v>
      </c>
      <c r="J363" t="s">
        <v>18</v>
      </c>
      <c r="K363" t="s">
        <v>17</v>
      </c>
    </row>
    <row r="364" spans="1:11" x14ac:dyDescent="0.3">
      <c r="A364" t="s">
        <v>398</v>
      </c>
      <c r="B364" s="1">
        <v>44996</v>
      </c>
      <c r="C364" t="s">
        <v>12</v>
      </c>
      <c r="D364" t="s">
        <v>21</v>
      </c>
      <c r="E364" t="s">
        <v>12</v>
      </c>
      <c r="F364">
        <v>126133</v>
      </c>
      <c r="G364" t="s">
        <v>34</v>
      </c>
      <c r="H364" t="s">
        <v>42</v>
      </c>
      <c r="I364">
        <v>2</v>
      </c>
      <c r="J364" t="s">
        <v>18</v>
      </c>
      <c r="K364" t="s">
        <v>17</v>
      </c>
    </row>
    <row r="365" spans="1:11" x14ac:dyDescent="0.3">
      <c r="A365" t="s">
        <v>399</v>
      </c>
      <c r="B365" s="1">
        <v>45720</v>
      </c>
      <c r="C365" t="s">
        <v>24</v>
      </c>
      <c r="D365" t="s">
        <v>41</v>
      </c>
      <c r="E365" t="s">
        <v>46</v>
      </c>
      <c r="F365">
        <v>28022</v>
      </c>
      <c r="G365" t="s">
        <v>34</v>
      </c>
      <c r="H365" t="s">
        <v>36</v>
      </c>
      <c r="I365">
        <v>4</v>
      </c>
      <c r="J365" t="s">
        <v>18</v>
      </c>
      <c r="K365" t="s">
        <v>17</v>
      </c>
    </row>
    <row r="366" spans="1:11" x14ac:dyDescent="0.3">
      <c r="A366" t="s">
        <v>400</v>
      </c>
      <c r="B366" s="1">
        <v>45048</v>
      </c>
      <c r="C366" t="s">
        <v>24</v>
      </c>
      <c r="D366" t="s">
        <v>25</v>
      </c>
      <c r="E366" t="s">
        <v>46</v>
      </c>
      <c r="F366">
        <v>57382</v>
      </c>
      <c r="G366" t="s">
        <v>34</v>
      </c>
      <c r="H366" t="s">
        <v>16</v>
      </c>
      <c r="I366">
        <v>1</v>
      </c>
      <c r="J366" t="s">
        <v>18</v>
      </c>
      <c r="K366" t="s">
        <v>17</v>
      </c>
    </row>
    <row r="367" spans="1:11" x14ac:dyDescent="0.3">
      <c r="A367" t="s">
        <v>401</v>
      </c>
      <c r="B367" s="1">
        <v>45266</v>
      </c>
      <c r="C367" t="s">
        <v>24</v>
      </c>
      <c r="D367" t="s">
        <v>13</v>
      </c>
      <c r="E367" t="s">
        <v>29</v>
      </c>
      <c r="F367">
        <v>11747</v>
      </c>
      <c r="G367" t="s">
        <v>22</v>
      </c>
      <c r="H367" t="s">
        <v>27</v>
      </c>
      <c r="I367">
        <v>2</v>
      </c>
      <c r="J367" t="s">
        <v>18</v>
      </c>
      <c r="K367" t="s">
        <v>17</v>
      </c>
    </row>
    <row r="368" spans="1:11" x14ac:dyDescent="0.3">
      <c r="A368" t="s">
        <v>402</v>
      </c>
      <c r="B368" s="1">
        <v>45537</v>
      </c>
      <c r="C368" t="s">
        <v>20</v>
      </c>
      <c r="D368" t="s">
        <v>25</v>
      </c>
      <c r="E368" t="s">
        <v>14</v>
      </c>
      <c r="F368">
        <v>0</v>
      </c>
      <c r="G368" t="s">
        <v>49</v>
      </c>
      <c r="H368" t="s">
        <v>42</v>
      </c>
      <c r="I368">
        <v>5</v>
      </c>
      <c r="J368" t="s">
        <v>18</v>
      </c>
      <c r="K368" t="s">
        <v>17</v>
      </c>
    </row>
    <row r="369" spans="1:11" x14ac:dyDescent="0.3">
      <c r="A369" t="s">
        <v>403</v>
      </c>
      <c r="B369" s="1">
        <v>45413</v>
      </c>
      <c r="C369" t="s">
        <v>12</v>
      </c>
      <c r="D369" t="s">
        <v>21</v>
      </c>
      <c r="E369" t="s">
        <v>14</v>
      </c>
      <c r="F369">
        <v>0</v>
      </c>
      <c r="G369" t="s">
        <v>15</v>
      </c>
      <c r="H369" t="s">
        <v>36</v>
      </c>
      <c r="I369">
        <v>2</v>
      </c>
      <c r="J369" t="s">
        <v>18</v>
      </c>
      <c r="K369" t="s">
        <v>17</v>
      </c>
    </row>
    <row r="370" spans="1:11" x14ac:dyDescent="0.3">
      <c r="A370" t="s">
        <v>404</v>
      </c>
      <c r="B370" s="1">
        <v>45871</v>
      </c>
      <c r="C370" t="s">
        <v>24</v>
      </c>
      <c r="D370" t="s">
        <v>21</v>
      </c>
      <c r="E370" t="s">
        <v>12</v>
      </c>
      <c r="F370">
        <v>209930</v>
      </c>
      <c r="G370" t="s">
        <v>22</v>
      </c>
      <c r="H370" t="s">
        <v>36</v>
      </c>
      <c r="I370">
        <v>1</v>
      </c>
      <c r="J370" t="s">
        <v>18</v>
      </c>
      <c r="K370" t="s">
        <v>17</v>
      </c>
    </row>
    <row r="371" spans="1:11" x14ac:dyDescent="0.3">
      <c r="A371" t="s">
        <v>405</v>
      </c>
      <c r="B371" s="1">
        <v>45581</v>
      </c>
      <c r="C371" t="s">
        <v>20</v>
      </c>
      <c r="D371" t="s">
        <v>39</v>
      </c>
      <c r="E371" t="s">
        <v>12</v>
      </c>
      <c r="F371">
        <v>181067</v>
      </c>
      <c r="G371" t="s">
        <v>34</v>
      </c>
      <c r="H371" t="s">
        <v>31</v>
      </c>
      <c r="I371">
        <v>4</v>
      </c>
      <c r="J371" t="s">
        <v>17</v>
      </c>
      <c r="K371" t="s">
        <v>18</v>
      </c>
    </row>
    <row r="372" spans="1:11" x14ac:dyDescent="0.3">
      <c r="A372" t="s">
        <v>406</v>
      </c>
      <c r="B372" s="1">
        <v>45196</v>
      </c>
      <c r="C372" t="s">
        <v>12</v>
      </c>
      <c r="D372" t="s">
        <v>21</v>
      </c>
      <c r="E372" t="s">
        <v>29</v>
      </c>
      <c r="F372">
        <v>9591</v>
      </c>
      <c r="G372" t="s">
        <v>49</v>
      </c>
      <c r="H372" t="s">
        <v>27</v>
      </c>
      <c r="I372">
        <v>4</v>
      </c>
      <c r="J372" t="s">
        <v>18</v>
      </c>
      <c r="K372" t="s">
        <v>17</v>
      </c>
    </row>
    <row r="373" spans="1:11" x14ac:dyDescent="0.3">
      <c r="A373" t="s">
        <v>407</v>
      </c>
      <c r="B373" s="1">
        <v>45566</v>
      </c>
      <c r="C373" t="s">
        <v>24</v>
      </c>
      <c r="D373" t="s">
        <v>21</v>
      </c>
      <c r="E373" t="s">
        <v>14</v>
      </c>
      <c r="F373">
        <v>0</v>
      </c>
      <c r="G373" t="s">
        <v>15</v>
      </c>
      <c r="H373" t="s">
        <v>36</v>
      </c>
      <c r="I373">
        <v>5</v>
      </c>
      <c r="J373" t="s">
        <v>18</v>
      </c>
      <c r="K373" t="s">
        <v>17</v>
      </c>
    </row>
    <row r="374" spans="1:11" x14ac:dyDescent="0.3">
      <c r="A374" t="s">
        <v>408</v>
      </c>
      <c r="B374" s="1">
        <v>45425</v>
      </c>
      <c r="C374" t="s">
        <v>24</v>
      </c>
      <c r="D374" t="s">
        <v>25</v>
      </c>
      <c r="E374" t="s">
        <v>14</v>
      </c>
      <c r="F374">
        <v>0</v>
      </c>
      <c r="G374" t="s">
        <v>26</v>
      </c>
      <c r="H374" t="s">
        <v>27</v>
      </c>
      <c r="I374">
        <v>5</v>
      </c>
      <c r="J374" t="s">
        <v>17</v>
      </c>
      <c r="K374" t="s">
        <v>18</v>
      </c>
    </row>
    <row r="375" spans="1:11" x14ac:dyDescent="0.3">
      <c r="A375" t="s">
        <v>409</v>
      </c>
      <c r="B375" s="1">
        <v>45857</v>
      </c>
      <c r="C375" t="s">
        <v>24</v>
      </c>
      <c r="D375" t="s">
        <v>25</v>
      </c>
      <c r="E375" t="s">
        <v>14</v>
      </c>
      <c r="F375">
        <v>0</v>
      </c>
      <c r="G375" t="s">
        <v>34</v>
      </c>
      <c r="H375" t="s">
        <v>31</v>
      </c>
      <c r="I375">
        <v>1</v>
      </c>
      <c r="J375" t="s">
        <v>17</v>
      </c>
      <c r="K375" t="s">
        <v>18</v>
      </c>
    </row>
    <row r="376" spans="1:11" x14ac:dyDescent="0.3">
      <c r="A376" t="s">
        <v>410</v>
      </c>
      <c r="B376" s="1">
        <v>45287</v>
      </c>
      <c r="C376" t="s">
        <v>20</v>
      </c>
      <c r="D376" t="s">
        <v>39</v>
      </c>
      <c r="E376" t="s">
        <v>46</v>
      </c>
      <c r="F376">
        <v>56739</v>
      </c>
      <c r="G376" t="s">
        <v>22</v>
      </c>
      <c r="H376" t="s">
        <v>31</v>
      </c>
      <c r="I376">
        <v>3</v>
      </c>
      <c r="J376" t="s">
        <v>17</v>
      </c>
      <c r="K376" t="s">
        <v>18</v>
      </c>
    </row>
    <row r="377" spans="1:11" x14ac:dyDescent="0.3">
      <c r="A377" t="s">
        <v>411</v>
      </c>
      <c r="B377" s="1">
        <v>45601</v>
      </c>
      <c r="C377" t="s">
        <v>12</v>
      </c>
      <c r="D377" t="s">
        <v>33</v>
      </c>
      <c r="E377" t="s">
        <v>12</v>
      </c>
      <c r="F377">
        <v>140565</v>
      </c>
      <c r="G377" t="s">
        <v>15</v>
      </c>
      <c r="H377" t="s">
        <v>16</v>
      </c>
      <c r="I377">
        <v>0</v>
      </c>
      <c r="J377" t="s">
        <v>17</v>
      </c>
      <c r="K377" t="s">
        <v>18</v>
      </c>
    </row>
    <row r="378" spans="1:11" x14ac:dyDescent="0.3">
      <c r="A378" t="s">
        <v>412</v>
      </c>
      <c r="B378" s="1">
        <v>45536</v>
      </c>
      <c r="C378" t="s">
        <v>12</v>
      </c>
      <c r="D378" t="s">
        <v>25</v>
      </c>
      <c r="E378" t="s">
        <v>46</v>
      </c>
      <c r="F378">
        <v>41408</v>
      </c>
      <c r="G378" t="s">
        <v>49</v>
      </c>
      <c r="H378" t="s">
        <v>36</v>
      </c>
      <c r="I378">
        <v>5</v>
      </c>
      <c r="J378" t="s">
        <v>18</v>
      </c>
      <c r="K378" t="s">
        <v>17</v>
      </c>
    </row>
    <row r="379" spans="1:11" x14ac:dyDescent="0.3">
      <c r="A379" t="s">
        <v>413</v>
      </c>
      <c r="B379" s="1">
        <v>45254</v>
      </c>
      <c r="C379" t="s">
        <v>24</v>
      </c>
      <c r="D379" t="s">
        <v>39</v>
      </c>
      <c r="E379" t="s">
        <v>14</v>
      </c>
      <c r="F379">
        <v>0</v>
      </c>
      <c r="G379" t="s">
        <v>22</v>
      </c>
      <c r="H379" t="s">
        <v>36</v>
      </c>
      <c r="I379">
        <v>3</v>
      </c>
      <c r="J379" t="s">
        <v>18</v>
      </c>
      <c r="K379" t="s">
        <v>17</v>
      </c>
    </row>
    <row r="380" spans="1:11" x14ac:dyDescent="0.3">
      <c r="A380" t="s">
        <v>414</v>
      </c>
      <c r="B380" s="1">
        <v>44997</v>
      </c>
      <c r="C380" t="s">
        <v>24</v>
      </c>
      <c r="D380" t="s">
        <v>39</v>
      </c>
      <c r="E380" t="s">
        <v>14</v>
      </c>
      <c r="F380">
        <v>0</v>
      </c>
      <c r="G380" t="s">
        <v>30</v>
      </c>
      <c r="H380" t="s">
        <v>42</v>
      </c>
      <c r="I380">
        <v>4</v>
      </c>
      <c r="J380" t="s">
        <v>18</v>
      </c>
      <c r="K380" t="s">
        <v>17</v>
      </c>
    </row>
    <row r="381" spans="1:11" x14ac:dyDescent="0.3">
      <c r="A381" t="s">
        <v>415</v>
      </c>
      <c r="B381" s="1">
        <v>45430</v>
      </c>
      <c r="C381" t="s">
        <v>12</v>
      </c>
      <c r="D381" t="s">
        <v>33</v>
      </c>
      <c r="E381" t="s">
        <v>14</v>
      </c>
      <c r="F381">
        <v>0</v>
      </c>
      <c r="G381" t="s">
        <v>22</v>
      </c>
      <c r="H381" t="s">
        <v>31</v>
      </c>
      <c r="I381">
        <v>2</v>
      </c>
      <c r="J381" t="s">
        <v>17</v>
      </c>
      <c r="K381" t="s">
        <v>18</v>
      </c>
    </row>
    <row r="382" spans="1:11" x14ac:dyDescent="0.3">
      <c r="A382" t="s">
        <v>416</v>
      </c>
      <c r="B382" s="1">
        <v>45251</v>
      </c>
      <c r="C382" t="s">
        <v>24</v>
      </c>
      <c r="D382" t="s">
        <v>39</v>
      </c>
      <c r="E382" t="s">
        <v>46</v>
      </c>
      <c r="F382">
        <v>29866</v>
      </c>
      <c r="G382" t="s">
        <v>30</v>
      </c>
      <c r="H382" t="s">
        <v>27</v>
      </c>
      <c r="I382">
        <v>0</v>
      </c>
      <c r="J382" t="s">
        <v>17</v>
      </c>
      <c r="K382" t="s">
        <v>18</v>
      </c>
    </row>
    <row r="383" spans="1:11" x14ac:dyDescent="0.3">
      <c r="A383" t="s">
        <v>417</v>
      </c>
      <c r="B383" s="1">
        <v>45647</v>
      </c>
      <c r="C383" t="s">
        <v>12</v>
      </c>
      <c r="D383" t="s">
        <v>25</v>
      </c>
      <c r="E383" t="s">
        <v>12</v>
      </c>
      <c r="F383">
        <v>214757</v>
      </c>
      <c r="G383" t="s">
        <v>26</v>
      </c>
      <c r="H383" t="s">
        <v>27</v>
      </c>
      <c r="I383">
        <v>0</v>
      </c>
      <c r="J383" t="s">
        <v>18</v>
      </c>
      <c r="K383" t="s">
        <v>17</v>
      </c>
    </row>
    <row r="384" spans="1:11" x14ac:dyDescent="0.3">
      <c r="A384" t="s">
        <v>418</v>
      </c>
      <c r="B384" s="1">
        <v>45107</v>
      </c>
      <c r="C384" t="s">
        <v>24</v>
      </c>
      <c r="D384" t="s">
        <v>33</v>
      </c>
      <c r="E384" t="s">
        <v>29</v>
      </c>
      <c r="F384">
        <v>13267</v>
      </c>
      <c r="G384" t="s">
        <v>49</v>
      </c>
      <c r="H384" t="s">
        <v>16</v>
      </c>
      <c r="I384">
        <v>5</v>
      </c>
      <c r="J384" t="s">
        <v>18</v>
      </c>
      <c r="K384" t="s">
        <v>17</v>
      </c>
    </row>
    <row r="385" spans="1:11" x14ac:dyDescent="0.3">
      <c r="A385" t="s">
        <v>419</v>
      </c>
      <c r="B385" s="1">
        <v>45089</v>
      </c>
      <c r="C385" t="s">
        <v>12</v>
      </c>
      <c r="D385" t="s">
        <v>39</v>
      </c>
      <c r="E385" t="s">
        <v>12</v>
      </c>
      <c r="F385">
        <v>240026</v>
      </c>
      <c r="G385" t="s">
        <v>34</v>
      </c>
      <c r="H385" t="s">
        <v>31</v>
      </c>
      <c r="I385">
        <v>2</v>
      </c>
      <c r="J385" t="s">
        <v>18</v>
      </c>
      <c r="K385" t="s">
        <v>17</v>
      </c>
    </row>
    <row r="386" spans="1:11" x14ac:dyDescent="0.3">
      <c r="A386" t="s">
        <v>420</v>
      </c>
      <c r="B386" s="1">
        <v>45729</v>
      </c>
      <c r="C386" t="s">
        <v>12</v>
      </c>
      <c r="D386" t="s">
        <v>33</v>
      </c>
      <c r="E386" t="s">
        <v>29</v>
      </c>
      <c r="F386">
        <v>16041</v>
      </c>
      <c r="G386" t="s">
        <v>26</v>
      </c>
      <c r="H386" t="s">
        <v>31</v>
      </c>
      <c r="I386">
        <v>1</v>
      </c>
      <c r="J386" t="s">
        <v>18</v>
      </c>
      <c r="K386" t="s">
        <v>17</v>
      </c>
    </row>
    <row r="387" spans="1:11" x14ac:dyDescent="0.3">
      <c r="A387" t="s">
        <v>421</v>
      </c>
      <c r="B387" s="1">
        <v>45660</v>
      </c>
      <c r="C387" t="s">
        <v>24</v>
      </c>
      <c r="D387" t="s">
        <v>21</v>
      </c>
      <c r="E387" t="s">
        <v>29</v>
      </c>
      <c r="F387">
        <v>8123</v>
      </c>
      <c r="G387" t="s">
        <v>34</v>
      </c>
      <c r="H387" t="s">
        <v>42</v>
      </c>
      <c r="I387">
        <v>1</v>
      </c>
      <c r="J387" t="s">
        <v>18</v>
      </c>
      <c r="K387" t="s">
        <v>17</v>
      </c>
    </row>
    <row r="388" spans="1:11" x14ac:dyDescent="0.3">
      <c r="A388" t="s">
        <v>422</v>
      </c>
      <c r="B388" s="1">
        <v>45745</v>
      </c>
      <c r="C388" t="s">
        <v>20</v>
      </c>
      <c r="D388" t="s">
        <v>13</v>
      </c>
      <c r="E388" t="s">
        <v>12</v>
      </c>
      <c r="F388">
        <v>167110</v>
      </c>
      <c r="G388" t="s">
        <v>49</v>
      </c>
      <c r="H388" t="s">
        <v>27</v>
      </c>
      <c r="I388">
        <v>2</v>
      </c>
      <c r="J388" t="s">
        <v>18</v>
      </c>
      <c r="K388" t="s">
        <v>17</v>
      </c>
    </row>
    <row r="389" spans="1:11" x14ac:dyDescent="0.3">
      <c r="A389" t="s">
        <v>423</v>
      </c>
      <c r="B389" s="1">
        <v>45527</v>
      </c>
      <c r="C389" t="s">
        <v>12</v>
      </c>
      <c r="D389" t="s">
        <v>21</v>
      </c>
      <c r="E389" t="s">
        <v>29</v>
      </c>
      <c r="F389">
        <v>16195</v>
      </c>
      <c r="G389" t="s">
        <v>22</v>
      </c>
      <c r="H389" t="s">
        <v>36</v>
      </c>
      <c r="I389">
        <v>1</v>
      </c>
      <c r="J389" t="s">
        <v>18</v>
      </c>
      <c r="K389" t="s">
        <v>17</v>
      </c>
    </row>
    <row r="390" spans="1:11" x14ac:dyDescent="0.3">
      <c r="A390" t="s">
        <v>424</v>
      </c>
      <c r="B390" s="1">
        <v>45396</v>
      </c>
      <c r="C390" t="s">
        <v>12</v>
      </c>
      <c r="D390" t="s">
        <v>41</v>
      </c>
      <c r="E390" t="s">
        <v>46</v>
      </c>
      <c r="F390">
        <v>50551</v>
      </c>
      <c r="G390" t="s">
        <v>49</v>
      </c>
      <c r="H390" t="s">
        <v>42</v>
      </c>
      <c r="I390">
        <v>0</v>
      </c>
      <c r="J390" t="s">
        <v>18</v>
      </c>
      <c r="K390" t="s">
        <v>17</v>
      </c>
    </row>
    <row r="391" spans="1:11" x14ac:dyDescent="0.3">
      <c r="A391" t="s">
        <v>425</v>
      </c>
      <c r="B391" s="1">
        <v>45037</v>
      </c>
      <c r="C391" t="s">
        <v>20</v>
      </c>
      <c r="D391" t="s">
        <v>25</v>
      </c>
      <c r="E391" t="s">
        <v>14</v>
      </c>
      <c r="F391">
        <v>0</v>
      </c>
      <c r="G391" t="s">
        <v>30</v>
      </c>
      <c r="H391" t="s">
        <v>42</v>
      </c>
      <c r="I391">
        <v>0</v>
      </c>
      <c r="J391" t="s">
        <v>17</v>
      </c>
      <c r="K391" t="s">
        <v>18</v>
      </c>
    </row>
    <row r="392" spans="1:11" x14ac:dyDescent="0.3">
      <c r="A392" t="s">
        <v>426</v>
      </c>
      <c r="B392" s="1">
        <v>45565</v>
      </c>
      <c r="C392" t="s">
        <v>24</v>
      </c>
      <c r="D392" t="s">
        <v>33</v>
      </c>
      <c r="E392" t="s">
        <v>12</v>
      </c>
      <c r="F392">
        <v>158146</v>
      </c>
      <c r="G392" t="s">
        <v>30</v>
      </c>
      <c r="H392" t="s">
        <v>42</v>
      </c>
      <c r="I392">
        <v>3</v>
      </c>
      <c r="J392" t="s">
        <v>17</v>
      </c>
      <c r="K392" t="s">
        <v>18</v>
      </c>
    </row>
    <row r="393" spans="1:11" x14ac:dyDescent="0.3">
      <c r="A393" t="s">
        <v>427</v>
      </c>
      <c r="B393" s="1">
        <v>45629</v>
      </c>
      <c r="C393" t="s">
        <v>20</v>
      </c>
      <c r="D393" t="s">
        <v>39</v>
      </c>
      <c r="E393" t="s">
        <v>14</v>
      </c>
      <c r="F393">
        <v>0</v>
      </c>
      <c r="G393" t="s">
        <v>49</v>
      </c>
      <c r="H393" t="s">
        <v>16</v>
      </c>
      <c r="I393">
        <v>4</v>
      </c>
      <c r="J393" t="s">
        <v>18</v>
      </c>
      <c r="K393" t="s">
        <v>17</v>
      </c>
    </row>
    <row r="394" spans="1:11" x14ac:dyDescent="0.3">
      <c r="A394" t="s">
        <v>428</v>
      </c>
      <c r="B394" s="1">
        <v>45840</v>
      </c>
      <c r="C394" t="s">
        <v>24</v>
      </c>
      <c r="D394" t="s">
        <v>33</v>
      </c>
      <c r="E394" t="s">
        <v>14</v>
      </c>
      <c r="F394">
        <v>0</v>
      </c>
      <c r="G394" t="s">
        <v>22</v>
      </c>
      <c r="H394" t="s">
        <v>31</v>
      </c>
      <c r="I394">
        <v>5</v>
      </c>
      <c r="J394" t="s">
        <v>18</v>
      </c>
      <c r="K394" t="s">
        <v>17</v>
      </c>
    </row>
    <row r="395" spans="1:11" x14ac:dyDescent="0.3">
      <c r="A395" t="s">
        <v>429</v>
      </c>
      <c r="B395" s="1">
        <v>45145</v>
      </c>
      <c r="C395" t="s">
        <v>24</v>
      </c>
      <c r="D395" t="s">
        <v>41</v>
      </c>
      <c r="E395" t="s">
        <v>46</v>
      </c>
      <c r="F395">
        <v>54756</v>
      </c>
      <c r="G395" t="s">
        <v>30</v>
      </c>
      <c r="H395" t="s">
        <v>36</v>
      </c>
      <c r="I395">
        <v>4</v>
      </c>
      <c r="J395" t="s">
        <v>17</v>
      </c>
      <c r="K395" t="s">
        <v>18</v>
      </c>
    </row>
    <row r="396" spans="1:11" x14ac:dyDescent="0.3">
      <c r="A396" t="s">
        <v>430</v>
      </c>
      <c r="B396" s="1">
        <v>45242</v>
      </c>
      <c r="C396" t="s">
        <v>20</v>
      </c>
      <c r="D396" t="s">
        <v>21</v>
      </c>
      <c r="E396" t="s">
        <v>12</v>
      </c>
      <c r="F396">
        <v>173833</v>
      </c>
      <c r="G396" t="s">
        <v>26</v>
      </c>
      <c r="H396" t="s">
        <v>36</v>
      </c>
      <c r="I396">
        <v>1</v>
      </c>
      <c r="J396" t="s">
        <v>18</v>
      </c>
      <c r="K396" t="s">
        <v>17</v>
      </c>
    </row>
    <row r="397" spans="1:11" x14ac:dyDescent="0.3">
      <c r="A397" t="s">
        <v>431</v>
      </c>
      <c r="B397" s="1">
        <v>45504</v>
      </c>
      <c r="C397" t="s">
        <v>24</v>
      </c>
      <c r="D397" t="s">
        <v>21</v>
      </c>
      <c r="E397" t="s">
        <v>12</v>
      </c>
      <c r="F397">
        <v>143929</v>
      </c>
      <c r="G397" t="s">
        <v>15</v>
      </c>
      <c r="H397" t="s">
        <v>27</v>
      </c>
      <c r="I397">
        <v>3</v>
      </c>
      <c r="J397" t="s">
        <v>18</v>
      </c>
      <c r="K397" t="s">
        <v>17</v>
      </c>
    </row>
    <row r="398" spans="1:11" x14ac:dyDescent="0.3">
      <c r="A398" t="s">
        <v>432</v>
      </c>
      <c r="B398" s="1">
        <v>45710</v>
      </c>
      <c r="C398" t="s">
        <v>20</v>
      </c>
      <c r="D398" t="s">
        <v>13</v>
      </c>
      <c r="E398" t="s">
        <v>29</v>
      </c>
      <c r="F398">
        <v>8505</v>
      </c>
      <c r="G398" t="s">
        <v>34</v>
      </c>
      <c r="H398" t="s">
        <v>42</v>
      </c>
      <c r="I398">
        <v>4</v>
      </c>
      <c r="J398" t="s">
        <v>17</v>
      </c>
      <c r="K398" t="s">
        <v>18</v>
      </c>
    </row>
    <row r="399" spans="1:11" x14ac:dyDescent="0.3">
      <c r="A399" t="s">
        <v>433</v>
      </c>
      <c r="B399" s="1">
        <v>45007</v>
      </c>
      <c r="C399" t="s">
        <v>24</v>
      </c>
      <c r="D399" t="s">
        <v>13</v>
      </c>
      <c r="E399" t="s">
        <v>46</v>
      </c>
      <c r="F399">
        <v>48059</v>
      </c>
      <c r="G399" t="s">
        <v>15</v>
      </c>
      <c r="H399" t="s">
        <v>36</v>
      </c>
      <c r="I399">
        <v>4</v>
      </c>
      <c r="J399" t="s">
        <v>18</v>
      </c>
      <c r="K399" t="s">
        <v>17</v>
      </c>
    </row>
    <row r="400" spans="1:11" x14ac:dyDescent="0.3">
      <c r="A400" t="s">
        <v>434</v>
      </c>
      <c r="B400" s="1">
        <v>45353</v>
      </c>
      <c r="C400" t="s">
        <v>24</v>
      </c>
      <c r="D400" t="s">
        <v>33</v>
      </c>
      <c r="E400" t="s">
        <v>46</v>
      </c>
      <c r="F400">
        <v>46946</v>
      </c>
      <c r="G400" t="s">
        <v>15</v>
      </c>
      <c r="H400" t="s">
        <v>42</v>
      </c>
      <c r="I400">
        <v>2</v>
      </c>
      <c r="J400" t="s">
        <v>17</v>
      </c>
      <c r="K400" t="s">
        <v>18</v>
      </c>
    </row>
    <row r="401" spans="1:11" x14ac:dyDescent="0.3">
      <c r="A401" t="s">
        <v>435</v>
      </c>
      <c r="B401" s="1">
        <v>45112</v>
      </c>
      <c r="C401" t="s">
        <v>12</v>
      </c>
      <c r="D401" t="s">
        <v>39</v>
      </c>
      <c r="E401" t="s">
        <v>46</v>
      </c>
      <c r="F401">
        <v>38776</v>
      </c>
      <c r="G401" t="s">
        <v>22</v>
      </c>
      <c r="H401" t="s">
        <v>42</v>
      </c>
      <c r="I401">
        <v>3</v>
      </c>
      <c r="J401" t="s">
        <v>18</v>
      </c>
      <c r="K401" t="s">
        <v>17</v>
      </c>
    </row>
    <row r="402" spans="1:11" x14ac:dyDescent="0.3">
      <c r="A402" t="s">
        <v>436</v>
      </c>
      <c r="B402" s="1">
        <v>45504</v>
      </c>
      <c r="C402" t="s">
        <v>20</v>
      </c>
      <c r="D402" t="s">
        <v>41</v>
      </c>
      <c r="E402" t="s">
        <v>46</v>
      </c>
      <c r="F402">
        <v>27426</v>
      </c>
      <c r="G402" t="s">
        <v>22</v>
      </c>
      <c r="H402" t="s">
        <v>16</v>
      </c>
      <c r="I402">
        <v>4</v>
      </c>
      <c r="J402" t="s">
        <v>18</v>
      </c>
      <c r="K402" t="s">
        <v>17</v>
      </c>
    </row>
    <row r="403" spans="1:11" x14ac:dyDescent="0.3">
      <c r="A403" t="s">
        <v>437</v>
      </c>
      <c r="B403" s="1">
        <v>45162</v>
      </c>
      <c r="C403" t="s">
        <v>24</v>
      </c>
      <c r="D403" t="s">
        <v>13</v>
      </c>
      <c r="E403" t="s">
        <v>12</v>
      </c>
      <c r="F403">
        <v>160387</v>
      </c>
      <c r="G403" t="s">
        <v>15</v>
      </c>
      <c r="H403" t="s">
        <v>42</v>
      </c>
      <c r="I403">
        <v>4</v>
      </c>
      <c r="J403" t="s">
        <v>18</v>
      </c>
      <c r="K403" t="s">
        <v>17</v>
      </c>
    </row>
    <row r="404" spans="1:11" x14ac:dyDescent="0.3">
      <c r="A404" t="s">
        <v>438</v>
      </c>
      <c r="B404" s="1">
        <v>45877</v>
      </c>
      <c r="C404" t="s">
        <v>20</v>
      </c>
      <c r="D404" t="s">
        <v>33</v>
      </c>
      <c r="E404" t="s">
        <v>46</v>
      </c>
      <c r="F404">
        <v>35846</v>
      </c>
      <c r="G404" t="s">
        <v>15</v>
      </c>
      <c r="H404" t="s">
        <v>16</v>
      </c>
      <c r="I404">
        <v>3</v>
      </c>
      <c r="J404" t="s">
        <v>17</v>
      </c>
      <c r="K404" t="s">
        <v>18</v>
      </c>
    </row>
    <row r="405" spans="1:11" x14ac:dyDescent="0.3">
      <c r="A405" t="s">
        <v>439</v>
      </c>
      <c r="B405" s="1">
        <v>45822</v>
      </c>
      <c r="C405" t="s">
        <v>12</v>
      </c>
      <c r="D405" t="s">
        <v>41</v>
      </c>
      <c r="E405" t="s">
        <v>12</v>
      </c>
      <c r="F405">
        <v>206454</v>
      </c>
      <c r="G405" t="s">
        <v>34</v>
      </c>
      <c r="H405" t="s">
        <v>42</v>
      </c>
      <c r="I405">
        <v>3</v>
      </c>
      <c r="J405" t="s">
        <v>18</v>
      </c>
      <c r="K405" t="s">
        <v>17</v>
      </c>
    </row>
    <row r="406" spans="1:11" x14ac:dyDescent="0.3">
      <c r="A406" t="s">
        <v>440</v>
      </c>
      <c r="B406" s="1">
        <v>45510</v>
      </c>
      <c r="C406" t="s">
        <v>24</v>
      </c>
      <c r="D406" t="s">
        <v>41</v>
      </c>
      <c r="E406" t="s">
        <v>29</v>
      </c>
      <c r="F406">
        <v>16056</v>
      </c>
      <c r="G406" t="s">
        <v>34</v>
      </c>
      <c r="H406" t="s">
        <v>42</v>
      </c>
      <c r="I406">
        <v>2</v>
      </c>
      <c r="J406" t="s">
        <v>18</v>
      </c>
      <c r="K406" t="s">
        <v>17</v>
      </c>
    </row>
    <row r="407" spans="1:11" x14ac:dyDescent="0.3">
      <c r="A407" t="s">
        <v>441</v>
      </c>
      <c r="B407" s="1">
        <v>45442</v>
      </c>
      <c r="C407" t="s">
        <v>12</v>
      </c>
      <c r="D407" t="s">
        <v>25</v>
      </c>
      <c r="E407" t="s">
        <v>14</v>
      </c>
      <c r="F407">
        <v>0</v>
      </c>
      <c r="G407" t="s">
        <v>22</v>
      </c>
      <c r="H407" t="s">
        <v>16</v>
      </c>
      <c r="I407">
        <v>5</v>
      </c>
      <c r="J407" t="s">
        <v>18</v>
      </c>
      <c r="K407" t="s">
        <v>17</v>
      </c>
    </row>
    <row r="408" spans="1:11" x14ac:dyDescent="0.3">
      <c r="A408" t="s">
        <v>442</v>
      </c>
      <c r="B408" s="1">
        <v>45893</v>
      </c>
      <c r="C408" t="s">
        <v>12</v>
      </c>
      <c r="D408" t="s">
        <v>13</v>
      </c>
      <c r="E408" t="s">
        <v>14</v>
      </c>
      <c r="F408">
        <v>0</v>
      </c>
      <c r="G408" t="s">
        <v>22</v>
      </c>
      <c r="H408" t="s">
        <v>36</v>
      </c>
      <c r="I408">
        <v>3</v>
      </c>
      <c r="J408" t="s">
        <v>18</v>
      </c>
      <c r="K408" t="s">
        <v>17</v>
      </c>
    </row>
    <row r="409" spans="1:11" x14ac:dyDescent="0.3">
      <c r="A409" t="s">
        <v>443</v>
      </c>
      <c r="B409" s="1">
        <v>45351</v>
      </c>
      <c r="C409" t="s">
        <v>12</v>
      </c>
      <c r="D409" t="s">
        <v>41</v>
      </c>
      <c r="E409" t="s">
        <v>14</v>
      </c>
      <c r="F409">
        <v>0</v>
      </c>
      <c r="G409" t="s">
        <v>15</v>
      </c>
      <c r="H409" t="s">
        <v>27</v>
      </c>
      <c r="I409">
        <v>0</v>
      </c>
      <c r="J409" t="s">
        <v>17</v>
      </c>
      <c r="K409" t="s">
        <v>18</v>
      </c>
    </row>
    <row r="410" spans="1:11" x14ac:dyDescent="0.3">
      <c r="A410" t="s">
        <v>444</v>
      </c>
      <c r="B410" s="1">
        <v>45259</v>
      </c>
      <c r="C410" t="s">
        <v>20</v>
      </c>
      <c r="D410" t="s">
        <v>33</v>
      </c>
      <c r="E410" t="s">
        <v>46</v>
      </c>
      <c r="F410">
        <v>29073</v>
      </c>
      <c r="G410" t="s">
        <v>15</v>
      </c>
      <c r="H410" t="s">
        <v>31</v>
      </c>
      <c r="I410">
        <v>0</v>
      </c>
      <c r="J410" t="s">
        <v>18</v>
      </c>
      <c r="K410" t="s">
        <v>17</v>
      </c>
    </row>
    <row r="411" spans="1:11" x14ac:dyDescent="0.3">
      <c r="A411" t="s">
        <v>445</v>
      </c>
      <c r="B411" s="1">
        <v>45385</v>
      </c>
      <c r="C411" t="s">
        <v>20</v>
      </c>
      <c r="D411" t="s">
        <v>21</v>
      </c>
      <c r="E411" t="s">
        <v>29</v>
      </c>
      <c r="F411">
        <v>14535</v>
      </c>
      <c r="G411" t="s">
        <v>49</v>
      </c>
      <c r="H411" t="s">
        <v>31</v>
      </c>
      <c r="I411">
        <v>2</v>
      </c>
      <c r="J411" t="s">
        <v>18</v>
      </c>
      <c r="K411" t="s">
        <v>17</v>
      </c>
    </row>
    <row r="412" spans="1:11" x14ac:dyDescent="0.3">
      <c r="A412" t="s">
        <v>446</v>
      </c>
      <c r="B412" s="1">
        <v>45452</v>
      </c>
      <c r="C412" t="s">
        <v>12</v>
      </c>
      <c r="D412" t="s">
        <v>13</v>
      </c>
      <c r="E412" t="s">
        <v>46</v>
      </c>
      <c r="F412">
        <v>38030</v>
      </c>
      <c r="G412" t="s">
        <v>34</v>
      </c>
      <c r="H412" t="s">
        <v>42</v>
      </c>
      <c r="I412">
        <v>3</v>
      </c>
      <c r="J412" t="s">
        <v>18</v>
      </c>
      <c r="K412" t="s">
        <v>17</v>
      </c>
    </row>
    <row r="413" spans="1:11" x14ac:dyDescent="0.3">
      <c r="A413" t="s">
        <v>447</v>
      </c>
      <c r="B413" s="1">
        <v>45357</v>
      </c>
      <c r="C413" t="s">
        <v>24</v>
      </c>
      <c r="D413" t="s">
        <v>33</v>
      </c>
      <c r="E413" t="s">
        <v>29</v>
      </c>
      <c r="F413">
        <v>7946</v>
      </c>
      <c r="G413" t="s">
        <v>22</v>
      </c>
      <c r="H413" t="s">
        <v>27</v>
      </c>
      <c r="I413">
        <v>1</v>
      </c>
      <c r="J413" t="s">
        <v>18</v>
      </c>
      <c r="K413" t="s">
        <v>17</v>
      </c>
    </row>
    <row r="414" spans="1:11" x14ac:dyDescent="0.3">
      <c r="A414" t="s">
        <v>448</v>
      </c>
      <c r="B414" s="1">
        <v>45405</v>
      </c>
      <c r="C414" t="s">
        <v>24</v>
      </c>
      <c r="D414" t="s">
        <v>25</v>
      </c>
      <c r="E414" t="s">
        <v>46</v>
      </c>
      <c r="F414">
        <v>53524</v>
      </c>
      <c r="G414" t="s">
        <v>30</v>
      </c>
      <c r="H414" t="s">
        <v>42</v>
      </c>
      <c r="I414">
        <v>3</v>
      </c>
      <c r="J414" t="s">
        <v>18</v>
      </c>
      <c r="K414" t="s">
        <v>17</v>
      </c>
    </row>
    <row r="415" spans="1:11" x14ac:dyDescent="0.3">
      <c r="A415" t="s">
        <v>449</v>
      </c>
      <c r="B415" s="1">
        <v>45141</v>
      </c>
      <c r="C415" t="s">
        <v>24</v>
      </c>
      <c r="D415" t="s">
        <v>21</v>
      </c>
      <c r="E415" t="s">
        <v>46</v>
      </c>
      <c r="F415">
        <v>40270</v>
      </c>
      <c r="G415" t="s">
        <v>15</v>
      </c>
      <c r="H415" t="s">
        <v>27</v>
      </c>
      <c r="I415">
        <v>3</v>
      </c>
      <c r="J415" t="s">
        <v>18</v>
      </c>
      <c r="K415" t="s">
        <v>17</v>
      </c>
    </row>
    <row r="416" spans="1:11" x14ac:dyDescent="0.3">
      <c r="A416" t="s">
        <v>450</v>
      </c>
      <c r="B416" s="1">
        <v>45445</v>
      </c>
      <c r="C416" t="s">
        <v>20</v>
      </c>
      <c r="D416" t="s">
        <v>13</v>
      </c>
      <c r="E416" t="s">
        <v>46</v>
      </c>
      <c r="F416">
        <v>56122</v>
      </c>
      <c r="G416" t="s">
        <v>15</v>
      </c>
      <c r="H416" t="s">
        <v>36</v>
      </c>
      <c r="I416">
        <v>2</v>
      </c>
      <c r="J416" t="s">
        <v>18</v>
      </c>
      <c r="K416" t="s">
        <v>17</v>
      </c>
    </row>
    <row r="417" spans="1:11" x14ac:dyDescent="0.3">
      <c r="A417" t="s">
        <v>451</v>
      </c>
      <c r="B417" s="1">
        <v>45202</v>
      </c>
      <c r="C417" t="s">
        <v>24</v>
      </c>
      <c r="D417" t="s">
        <v>13</v>
      </c>
      <c r="E417" t="s">
        <v>29</v>
      </c>
      <c r="F417">
        <v>16283</v>
      </c>
      <c r="G417" t="s">
        <v>30</v>
      </c>
      <c r="H417" t="s">
        <v>31</v>
      </c>
      <c r="I417">
        <v>4</v>
      </c>
      <c r="J417" t="s">
        <v>17</v>
      </c>
      <c r="K417" t="s">
        <v>18</v>
      </c>
    </row>
    <row r="418" spans="1:11" x14ac:dyDescent="0.3">
      <c r="A418" t="s">
        <v>452</v>
      </c>
      <c r="B418" s="1">
        <v>45220</v>
      </c>
      <c r="C418" t="s">
        <v>20</v>
      </c>
      <c r="D418" t="s">
        <v>33</v>
      </c>
      <c r="E418" t="s">
        <v>14</v>
      </c>
      <c r="F418">
        <v>0</v>
      </c>
      <c r="G418" t="s">
        <v>15</v>
      </c>
      <c r="H418" t="s">
        <v>42</v>
      </c>
      <c r="I418">
        <v>1</v>
      </c>
      <c r="J418" t="s">
        <v>18</v>
      </c>
      <c r="K418" t="s">
        <v>17</v>
      </c>
    </row>
    <row r="419" spans="1:11" x14ac:dyDescent="0.3">
      <c r="A419" t="s">
        <v>453</v>
      </c>
      <c r="B419" s="1">
        <v>45838</v>
      </c>
      <c r="C419" t="s">
        <v>20</v>
      </c>
      <c r="D419" t="s">
        <v>21</v>
      </c>
      <c r="E419" t="s">
        <v>46</v>
      </c>
      <c r="F419">
        <v>57092</v>
      </c>
      <c r="G419" t="s">
        <v>26</v>
      </c>
      <c r="H419" t="s">
        <v>27</v>
      </c>
      <c r="I419">
        <v>2</v>
      </c>
      <c r="J419" t="s">
        <v>18</v>
      </c>
      <c r="K419" t="s">
        <v>17</v>
      </c>
    </row>
    <row r="420" spans="1:11" x14ac:dyDescent="0.3">
      <c r="A420" t="s">
        <v>454</v>
      </c>
      <c r="B420" s="1">
        <v>45364</v>
      </c>
      <c r="C420" t="s">
        <v>12</v>
      </c>
      <c r="D420" t="s">
        <v>21</v>
      </c>
      <c r="E420" t="s">
        <v>29</v>
      </c>
      <c r="F420">
        <v>7785</v>
      </c>
      <c r="G420" t="s">
        <v>49</v>
      </c>
      <c r="H420" t="s">
        <v>27</v>
      </c>
      <c r="I420">
        <v>3</v>
      </c>
      <c r="J420" t="s">
        <v>18</v>
      </c>
      <c r="K420" t="s">
        <v>17</v>
      </c>
    </row>
    <row r="421" spans="1:11" x14ac:dyDescent="0.3">
      <c r="A421" t="s">
        <v>455</v>
      </c>
      <c r="B421" s="1">
        <v>45891</v>
      </c>
      <c r="C421" t="s">
        <v>12</v>
      </c>
      <c r="D421" t="s">
        <v>33</v>
      </c>
      <c r="E421" t="s">
        <v>46</v>
      </c>
      <c r="F421">
        <v>46251</v>
      </c>
      <c r="G421" t="s">
        <v>34</v>
      </c>
      <c r="H421" t="s">
        <v>36</v>
      </c>
      <c r="I421">
        <v>2</v>
      </c>
      <c r="J421" t="s">
        <v>18</v>
      </c>
      <c r="K421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1830-92F0-47A9-BD18-988907EF2C6A}">
  <dimension ref="A1:R421"/>
  <sheetViews>
    <sheetView tabSelected="1" workbookViewId="0">
      <selection activeCell="A4" sqref="A4"/>
    </sheetView>
  </sheetViews>
  <sheetFormatPr defaultRowHeight="14.4" x14ac:dyDescent="0.3"/>
  <cols>
    <col min="1" max="1" width="13.5546875" customWidth="1"/>
    <col min="2" max="2" width="13.21875" customWidth="1"/>
    <col min="3" max="3" width="19.109375" customWidth="1"/>
    <col min="4" max="4" width="10" bestFit="1" customWidth="1"/>
    <col min="5" max="5" width="18" customWidth="1"/>
    <col min="6" max="6" width="17.21875" customWidth="1"/>
    <col min="7" max="7" width="17.33203125" customWidth="1"/>
    <col min="8" max="8" width="19.88671875" customWidth="1"/>
    <col min="9" max="9" width="23.6640625" customWidth="1"/>
    <col min="10" max="10" width="10.33203125" customWidth="1"/>
    <col min="11" max="11" width="13.88671875" customWidth="1"/>
    <col min="14" max="14" width="10.5546875" bestFit="1" customWidth="1"/>
    <col min="17" max="17" width="12.21875" bestFit="1" customWidth="1"/>
  </cols>
  <sheetData>
    <row r="1" spans="1:18" x14ac:dyDescent="0.3">
      <c r="A1" t="s">
        <v>0</v>
      </c>
      <c r="B1" t="s">
        <v>1</v>
      </c>
      <c r="C1" t="s">
        <v>457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458</v>
      </c>
      <c r="N1" t="s">
        <v>459</v>
      </c>
      <c r="O1" t="s">
        <v>456</v>
      </c>
      <c r="P1" t="s">
        <v>460</v>
      </c>
      <c r="Q1" t="s">
        <v>462</v>
      </c>
      <c r="R1" t="s">
        <v>461</v>
      </c>
    </row>
    <row r="2" spans="1:18" x14ac:dyDescent="0.3">
      <c r="A2" t="s">
        <v>11</v>
      </c>
      <c r="B2" s="1">
        <v>45300</v>
      </c>
      <c r="C2" s="1">
        <v>45314</v>
      </c>
      <c r="D2" t="s">
        <v>12</v>
      </c>
      <c r="E2" t="s">
        <v>13</v>
      </c>
      <c r="F2" t="s">
        <v>14</v>
      </c>
      <c r="G2" s="2">
        <v>0</v>
      </c>
      <c r="H2" t="s">
        <v>15</v>
      </c>
      <c r="I2" t="s">
        <v>16</v>
      </c>
      <c r="J2">
        <v>5</v>
      </c>
      <c r="K2" t="s">
        <v>17</v>
      </c>
      <c r="L2" t="s">
        <v>18</v>
      </c>
      <c r="M2">
        <f>YEAR(Scaleflow[[#This Row],[Signup_Date]])</f>
        <v>2024</v>
      </c>
      <c r="N2" t="str">
        <f>TEXT(Scaleflow[[#This Row],[Signup_Date]],"MMM")</f>
        <v>Jan</v>
      </c>
      <c r="O2" t="str">
        <f>IF(Scaleflow[[#This Row],[Monthly_Revenue]]=0,"Free","Paid")</f>
        <v>Free</v>
      </c>
      <c r="P2">
        <f>YEAR(Scaleflow[[#This Row],[TransactionDate]])</f>
        <v>2024</v>
      </c>
      <c r="Q2">
        <f>MONTH(Scaleflow[[#This Row],[TransactionDate]])</f>
        <v>1</v>
      </c>
      <c r="R2" t="str">
        <f>TEXT(Scaleflow[[#This Row],[TransactionDate]],"MMM")</f>
        <v>Jan</v>
      </c>
    </row>
    <row r="3" spans="1:18" x14ac:dyDescent="0.3">
      <c r="A3" t="s">
        <v>19</v>
      </c>
      <c r="B3" s="1">
        <v>45666</v>
      </c>
      <c r="C3" s="1">
        <v>45676</v>
      </c>
      <c r="D3" t="s">
        <v>20</v>
      </c>
      <c r="E3" t="s">
        <v>21</v>
      </c>
      <c r="F3" t="s">
        <v>12</v>
      </c>
      <c r="G3" s="2">
        <v>236452</v>
      </c>
      <c r="H3" t="s">
        <v>22</v>
      </c>
      <c r="I3" t="s">
        <v>16</v>
      </c>
      <c r="J3">
        <v>1</v>
      </c>
      <c r="K3" t="s">
        <v>18</v>
      </c>
      <c r="L3" t="s">
        <v>17</v>
      </c>
      <c r="M3">
        <f>YEAR(Scaleflow[[#This Row],[Signup_Date]])</f>
        <v>2025</v>
      </c>
      <c r="N3" t="str">
        <f>TEXT(Scaleflow[[#This Row],[Signup_Date]],"MMM")</f>
        <v>Jan</v>
      </c>
      <c r="O3" t="str">
        <f>IF(Scaleflow[[#This Row],[Monthly_Revenue]]=0,"Free","Paid")</f>
        <v>Paid</v>
      </c>
      <c r="P3">
        <f>YEAR(Scaleflow[[#This Row],[TransactionDate]])</f>
        <v>2025</v>
      </c>
      <c r="Q3">
        <f>MONTH(Scaleflow[[#This Row],[TransactionDate]])</f>
        <v>1</v>
      </c>
      <c r="R3" t="str">
        <f>TEXT(Scaleflow[[#This Row],[TransactionDate]],"MMM")</f>
        <v>Jan</v>
      </c>
    </row>
    <row r="4" spans="1:18" x14ac:dyDescent="0.3">
      <c r="A4" t="s">
        <v>23</v>
      </c>
      <c r="B4" s="1">
        <v>45449</v>
      </c>
      <c r="C4" s="1">
        <v>45569</v>
      </c>
      <c r="D4" t="s">
        <v>24</v>
      </c>
      <c r="E4" t="s">
        <v>25</v>
      </c>
      <c r="F4" t="s">
        <v>12</v>
      </c>
      <c r="G4" s="2">
        <v>142654</v>
      </c>
      <c r="H4" t="s">
        <v>26</v>
      </c>
      <c r="I4" t="s">
        <v>27</v>
      </c>
      <c r="J4">
        <v>3</v>
      </c>
      <c r="K4" t="s">
        <v>18</v>
      </c>
      <c r="L4" t="s">
        <v>17</v>
      </c>
      <c r="M4">
        <f>YEAR(Scaleflow[[#This Row],[Signup_Date]])</f>
        <v>2024</v>
      </c>
      <c r="N4" t="str">
        <f>TEXT(Scaleflow[[#This Row],[Signup_Date]],"MMM")</f>
        <v>Jun</v>
      </c>
      <c r="O4" t="str">
        <f>IF(Scaleflow[[#This Row],[Monthly_Revenue]]=0,"Free","Paid")</f>
        <v>Paid</v>
      </c>
      <c r="P4">
        <f>YEAR(Scaleflow[[#This Row],[TransactionDate]])</f>
        <v>2024</v>
      </c>
      <c r="Q4">
        <f>MONTH(Scaleflow[[#This Row],[TransactionDate]])</f>
        <v>10</v>
      </c>
      <c r="R4" t="str">
        <f>TEXT(Scaleflow[[#This Row],[TransactionDate]],"MMM")</f>
        <v>Oct</v>
      </c>
    </row>
    <row r="5" spans="1:18" x14ac:dyDescent="0.3">
      <c r="A5" t="s">
        <v>28</v>
      </c>
      <c r="B5" s="1">
        <v>45711</v>
      </c>
      <c r="C5" s="1">
        <v>45720</v>
      </c>
      <c r="D5" t="s">
        <v>12</v>
      </c>
      <c r="E5" t="s">
        <v>25</v>
      </c>
      <c r="F5" t="s">
        <v>29</v>
      </c>
      <c r="G5" s="2">
        <v>12618</v>
      </c>
      <c r="H5" t="s">
        <v>30</v>
      </c>
      <c r="I5" t="s">
        <v>31</v>
      </c>
      <c r="J5">
        <v>0</v>
      </c>
      <c r="K5" t="s">
        <v>18</v>
      </c>
      <c r="L5" t="s">
        <v>17</v>
      </c>
      <c r="M5">
        <f>YEAR(Scaleflow[[#This Row],[Signup_Date]])</f>
        <v>2025</v>
      </c>
      <c r="N5" t="str">
        <f>TEXT(Scaleflow[[#This Row],[Signup_Date]],"MMM")</f>
        <v>Feb</v>
      </c>
      <c r="O5" t="str">
        <f>IF(Scaleflow[[#This Row],[Monthly_Revenue]]=0,"Free","Paid")</f>
        <v>Paid</v>
      </c>
      <c r="P5">
        <f>YEAR(Scaleflow[[#This Row],[TransactionDate]])</f>
        <v>2025</v>
      </c>
      <c r="Q5">
        <f>MONTH(Scaleflow[[#This Row],[TransactionDate]])</f>
        <v>3</v>
      </c>
      <c r="R5" t="str">
        <f>TEXT(Scaleflow[[#This Row],[TransactionDate]],"MMM")</f>
        <v>Mar</v>
      </c>
    </row>
    <row r="6" spans="1:18" x14ac:dyDescent="0.3">
      <c r="A6" t="s">
        <v>32</v>
      </c>
      <c r="B6" s="1">
        <v>44981</v>
      </c>
      <c r="C6" s="1">
        <v>45901</v>
      </c>
      <c r="D6" t="s">
        <v>12</v>
      </c>
      <c r="E6" t="s">
        <v>33</v>
      </c>
      <c r="F6" t="s">
        <v>14</v>
      </c>
      <c r="G6" s="2">
        <v>0</v>
      </c>
      <c r="H6" t="s">
        <v>34</v>
      </c>
      <c r="I6" t="s">
        <v>27</v>
      </c>
      <c r="J6">
        <v>3</v>
      </c>
      <c r="K6" t="s">
        <v>18</v>
      </c>
      <c r="L6" t="s">
        <v>17</v>
      </c>
      <c r="M6">
        <f>YEAR(Scaleflow[[#This Row],[Signup_Date]])</f>
        <v>2023</v>
      </c>
      <c r="N6" t="str">
        <f>TEXT(Scaleflow[[#This Row],[Signup_Date]],"MMM")</f>
        <v>Feb</v>
      </c>
      <c r="O6" t="str">
        <f>IF(Scaleflow[[#This Row],[Monthly_Revenue]]=0,"Free","Paid")</f>
        <v>Free</v>
      </c>
      <c r="P6">
        <f>YEAR(Scaleflow[[#This Row],[TransactionDate]])</f>
        <v>2025</v>
      </c>
      <c r="Q6">
        <f>MONTH(Scaleflow[[#This Row],[TransactionDate]])</f>
        <v>9</v>
      </c>
      <c r="R6" t="str">
        <f>TEXT(Scaleflow[[#This Row],[TransactionDate]],"MMM")</f>
        <v>Sep</v>
      </c>
    </row>
    <row r="7" spans="1:18" x14ac:dyDescent="0.3">
      <c r="A7" t="s">
        <v>35</v>
      </c>
      <c r="B7" s="1">
        <v>45639</v>
      </c>
      <c r="C7" s="1">
        <v>45787</v>
      </c>
      <c r="D7" t="s">
        <v>12</v>
      </c>
      <c r="E7" t="s">
        <v>25</v>
      </c>
      <c r="F7" t="s">
        <v>12</v>
      </c>
      <c r="G7" s="2">
        <v>194693</v>
      </c>
      <c r="H7" t="s">
        <v>26</v>
      </c>
      <c r="I7" t="s">
        <v>36</v>
      </c>
      <c r="J7">
        <v>2</v>
      </c>
      <c r="K7" t="s">
        <v>18</v>
      </c>
      <c r="L7" t="s">
        <v>17</v>
      </c>
      <c r="M7">
        <f>YEAR(Scaleflow[[#This Row],[Signup_Date]])</f>
        <v>2024</v>
      </c>
      <c r="N7" t="str">
        <f>TEXT(Scaleflow[[#This Row],[Signup_Date]],"MMM")</f>
        <v>Dec</v>
      </c>
      <c r="O7" t="str">
        <f>IF(Scaleflow[[#This Row],[Monthly_Revenue]]=0,"Free","Paid")</f>
        <v>Paid</v>
      </c>
      <c r="P7">
        <f>YEAR(Scaleflow[[#This Row],[TransactionDate]])</f>
        <v>2025</v>
      </c>
      <c r="Q7">
        <f>MONTH(Scaleflow[[#This Row],[TransactionDate]])</f>
        <v>5</v>
      </c>
      <c r="R7" t="str">
        <f>TEXT(Scaleflow[[#This Row],[TransactionDate]],"MMM")</f>
        <v>May</v>
      </c>
    </row>
    <row r="8" spans="1:18" x14ac:dyDescent="0.3">
      <c r="A8" t="s">
        <v>37</v>
      </c>
      <c r="B8" s="1">
        <v>45151</v>
      </c>
      <c r="C8" s="1">
        <v>45914</v>
      </c>
      <c r="D8" t="s">
        <v>12</v>
      </c>
      <c r="E8" t="s">
        <v>13</v>
      </c>
      <c r="F8" t="s">
        <v>29</v>
      </c>
      <c r="G8" s="2">
        <v>7962</v>
      </c>
      <c r="H8" t="s">
        <v>15</v>
      </c>
      <c r="I8" t="s">
        <v>27</v>
      </c>
      <c r="J8">
        <v>2</v>
      </c>
      <c r="K8" t="s">
        <v>18</v>
      </c>
      <c r="L8" t="s">
        <v>17</v>
      </c>
      <c r="M8">
        <f>YEAR(Scaleflow[[#This Row],[Signup_Date]])</f>
        <v>2023</v>
      </c>
      <c r="N8" t="str">
        <f>TEXT(Scaleflow[[#This Row],[Signup_Date]],"MMM")</f>
        <v>Aug</v>
      </c>
      <c r="O8" t="str">
        <f>IF(Scaleflow[[#This Row],[Monthly_Revenue]]=0,"Free","Paid")</f>
        <v>Paid</v>
      </c>
      <c r="P8">
        <f>YEAR(Scaleflow[[#This Row],[TransactionDate]])</f>
        <v>2025</v>
      </c>
      <c r="Q8">
        <f>MONTH(Scaleflow[[#This Row],[TransactionDate]])</f>
        <v>9</v>
      </c>
      <c r="R8" t="str">
        <f>TEXT(Scaleflow[[#This Row],[TransactionDate]],"MMM")</f>
        <v>Sep</v>
      </c>
    </row>
    <row r="9" spans="1:18" x14ac:dyDescent="0.3">
      <c r="A9" t="s">
        <v>38</v>
      </c>
      <c r="B9" s="1">
        <v>45539</v>
      </c>
      <c r="C9" s="1">
        <v>45595</v>
      </c>
      <c r="D9" t="s">
        <v>24</v>
      </c>
      <c r="E9" t="s">
        <v>39</v>
      </c>
      <c r="F9" t="s">
        <v>14</v>
      </c>
      <c r="G9" s="2">
        <v>0</v>
      </c>
      <c r="H9" t="s">
        <v>30</v>
      </c>
      <c r="I9" t="s">
        <v>27</v>
      </c>
      <c r="J9">
        <v>1</v>
      </c>
      <c r="K9" t="s">
        <v>18</v>
      </c>
      <c r="L9" t="s">
        <v>17</v>
      </c>
      <c r="M9">
        <f>YEAR(Scaleflow[[#This Row],[Signup_Date]])</f>
        <v>2024</v>
      </c>
      <c r="N9" t="str">
        <f>TEXT(Scaleflow[[#This Row],[Signup_Date]],"MMM")</f>
        <v>Sep</v>
      </c>
      <c r="O9" t="str">
        <f>IF(Scaleflow[[#This Row],[Monthly_Revenue]]=0,"Free","Paid")</f>
        <v>Free</v>
      </c>
      <c r="P9">
        <f>YEAR(Scaleflow[[#This Row],[TransactionDate]])</f>
        <v>2024</v>
      </c>
      <c r="Q9">
        <f>MONTH(Scaleflow[[#This Row],[TransactionDate]])</f>
        <v>10</v>
      </c>
      <c r="R9" t="str">
        <f>TEXT(Scaleflow[[#This Row],[TransactionDate]],"MMM")</f>
        <v>Oct</v>
      </c>
    </row>
    <row r="10" spans="1:18" x14ac:dyDescent="0.3">
      <c r="A10" t="s">
        <v>40</v>
      </c>
      <c r="B10" s="1">
        <v>45506</v>
      </c>
      <c r="C10" s="1">
        <v>45832</v>
      </c>
      <c r="D10" t="s">
        <v>24</v>
      </c>
      <c r="E10" t="s">
        <v>41</v>
      </c>
      <c r="F10" t="s">
        <v>14</v>
      </c>
      <c r="G10" s="2">
        <v>0</v>
      </c>
      <c r="H10" t="s">
        <v>22</v>
      </c>
      <c r="I10" t="s">
        <v>42</v>
      </c>
      <c r="J10">
        <v>4</v>
      </c>
      <c r="K10" t="s">
        <v>18</v>
      </c>
      <c r="L10" t="s">
        <v>17</v>
      </c>
      <c r="M10">
        <f>YEAR(Scaleflow[[#This Row],[Signup_Date]])</f>
        <v>2024</v>
      </c>
      <c r="N10" t="str">
        <f>TEXT(Scaleflow[[#This Row],[Signup_Date]],"MMM")</f>
        <v>Aug</v>
      </c>
      <c r="O10" t="str">
        <f>IF(Scaleflow[[#This Row],[Monthly_Revenue]]=0,"Free","Paid")</f>
        <v>Free</v>
      </c>
      <c r="P10">
        <f>YEAR(Scaleflow[[#This Row],[TransactionDate]])</f>
        <v>2025</v>
      </c>
      <c r="Q10">
        <f>MONTH(Scaleflow[[#This Row],[TransactionDate]])</f>
        <v>6</v>
      </c>
      <c r="R10" t="str">
        <f>TEXT(Scaleflow[[#This Row],[TransactionDate]],"MMM")</f>
        <v>Jun</v>
      </c>
    </row>
    <row r="11" spans="1:18" x14ac:dyDescent="0.3">
      <c r="A11" t="s">
        <v>43</v>
      </c>
      <c r="B11" s="1">
        <v>45081</v>
      </c>
      <c r="C11" s="1">
        <v>45740</v>
      </c>
      <c r="D11" t="s">
        <v>24</v>
      </c>
      <c r="E11" t="s">
        <v>13</v>
      </c>
      <c r="F11" t="s">
        <v>14</v>
      </c>
      <c r="G11" s="2">
        <v>0</v>
      </c>
      <c r="H11" t="s">
        <v>22</v>
      </c>
      <c r="I11" t="s">
        <v>31</v>
      </c>
      <c r="J11">
        <v>0</v>
      </c>
      <c r="K11" t="s">
        <v>18</v>
      </c>
      <c r="L11" t="s">
        <v>17</v>
      </c>
      <c r="M11">
        <f>YEAR(Scaleflow[[#This Row],[Signup_Date]])</f>
        <v>2023</v>
      </c>
      <c r="N11" t="str">
        <f>TEXT(Scaleflow[[#This Row],[Signup_Date]],"MMM")</f>
        <v>Jun</v>
      </c>
      <c r="O11" t="str">
        <f>IF(Scaleflow[[#This Row],[Monthly_Revenue]]=0,"Free","Paid")</f>
        <v>Free</v>
      </c>
      <c r="P11">
        <f>YEAR(Scaleflow[[#This Row],[TransactionDate]])</f>
        <v>2025</v>
      </c>
      <c r="Q11">
        <f>MONTH(Scaleflow[[#This Row],[TransactionDate]])</f>
        <v>3</v>
      </c>
      <c r="R11" t="str">
        <f>TEXT(Scaleflow[[#This Row],[TransactionDate]],"MMM")</f>
        <v>Mar</v>
      </c>
    </row>
    <row r="12" spans="1:18" x14ac:dyDescent="0.3">
      <c r="A12" t="s">
        <v>44</v>
      </c>
      <c r="B12" s="1">
        <v>45866</v>
      </c>
      <c r="C12" s="1">
        <v>45877</v>
      </c>
      <c r="D12" t="s">
        <v>12</v>
      </c>
      <c r="E12" t="s">
        <v>13</v>
      </c>
      <c r="F12" t="s">
        <v>12</v>
      </c>
      <c r="G12" s="2">
        <v>126510</v>
      </c>
      <c r="H12" t="s">
        <v>34</v>
      </c>
      <c r="I12" t="s">
        <v>16</v>
      </c>
      <c r="J12">
        <v>0</v>
      </c>
      <c r="K12" t="s">
        <v>18</v>
      </c>
      <c r="L12" t="s">
        <v>17</v>
      </c>
      <c r="M12">
        <f>YEAR(Scaleflow[[#This Row],[Signup_Date]])</f>
        <v>2025</v>
      </c>
      <c r="N12" t="str">
        <f>TEXT(Scaleflow[[#This Row],[Signup_Date]],"MMM")</f>
        <v>Jul</v>
      </c>
      <c r="O12" t="str">
        <f>IF(Scaleflow[[#This Row],[Monthly_Revenue]]=0,"Free","Paid")</f>
        <v>Paid</v>
      </c>
      <c r="P12">
        <f>YEAR(Scaleflow[[#This Row],[TransactionDate]])</f>
        <v>2025</v>
      </c>
      <c r="Q12">
        <f>MONTH(Scaleflow[[#This Row],[TransactionDate]])</f>
        <v>8</v>
      </c>
      <c r="R12" t="str">
        <f>TEXT(Scaleflow[[#This Row],[TransactionDate]],"MMM")</f>
        <v>Aug</v>
      </c>
    </row>
    <row r="13" spans="1:18" x14ac:dyDescent="0.3">
      <c r="A13" t="s">
        <v>45</v>
      </c>
      <c r="B13" s="1">
        <v>45547</v>
      </c>
      <c r="C13" s="1">
        <v>45807</v>
      </c>
      <c r="D13" t="s">
        <v>24</v>
      </c>
      <c r="E13" t="s">
        <v>25</v>
      </c>
      <c r="F13" t="s">
        <v>46</v>
      </c>
      <c r="G13" s="2">
        <v>28827</v>
      </c>
      <c r="H13" t="s">
        <v>34</v>
      </c>
      <c r="I13" t="s">
        <v>36</v>
      </c>
      <c r="J13">
        <v>4</v>
      </c>
      <c r="K13" t="s">
        <v>18</v>
      </c>
      <c r="L13" t="s">
        <v>17</v>
      </c>
      <c r="M13">
        <f>YEAR(Scaleflow[[#This Row],[Signup_Date]])</f>
        <v>2024</v>
      </c>
      <c r="N13" t="str">
        <f>TEXT(Scaleflow[[#This Row],[Signup_Date]],"MMM")</f>
        <v>Sep</v>
      </c>
      <c r="O13" t="str">
        <f>IF(Scaleflow[[#This Row],[Monthly_Revenue]]=0,"Free","Paid")</f>
        <v>Paid</v>
      </c>
      <c r="P13">
        <f>YEAR(Scaleflow[[#This Row],[TransactionDate]])</f>
        <v>2025</v>
      </c>
      <c r="Q13">
        <f>MONTH(Scaleflow[[#This Row],[TransactionDate]])</f>
        <v>5</v>
      </c>
      <c r="R13" t="str">
        <f>TEXT(Scaleflow[[#This Row],[TransactionDate]],"MMM")</f>
        <v>May</v>
      </c>
    </row>
    <row r="14" spans="1:18" x14ac:dyDescent="0.3">
      <c r="A14" t="s">
        <v>47</v>
      </c>
      <c r="B14" s="1">
        <v>45004</v>
      </c>
      <c r="C14" s="1">
        <v>45399</v>
      </c>
      <c r="D14" t="s">
        <v>12</v>
      </c>
      <c r="E14" t="s">
        <v>25</v>
      </c>
      <c r="F14" t="s">
        <v>46</v>
      </c>
      <c r="G14" s="2">
        <v>36223</v>
      </c>
      <c r="H14" t="s">
        <v>26</v>
      </c>
      <c r="I14" t="s">
        <v>27</v>
      </c>
      <c r="J14">
        <v>1</v>
      </c>
      <c r="K14" t="s">
        <v>18</v>
      </c>
      <c r="L14" t="s">
        <v>17</v>
      </c>
      <c r="M14">
        <f>YEAR(Scaleflow[[#This Row],[Signup_Date]])</f>
        <v>2023</v>
      </c>
      <c r="N14" t="str">
        <f>TEXT(Scaleflow[[#This Row],[Signup_Date]],"MMM")</f>
        <v>Mar</v>
      </c>
      <c r="O14" t="str">
        <f>IF(Scaleflow[[#This Row],[Monthly_Revenue]]=0,"Free","Paid")</f>
        <v>Paid</v>
      </c>
      <c r="P14">
        <f>YEAR(Scaleflow[[#This Row],[TransactionDate]])</f>
        <v>2024</v>
      </c>
      <c r="Q14">
        <f>MONTH(Scaleflow[[#This Row],[TransactionDate]])</f>
        <v>4</v>
      </c>
      <c r="R14" t="str">
        <f>TEXT(Scaleflow[[#This Row],[TransactionDate]],"MMM")</f>
        <v>Apr</v>
      </c>
    </row>
    <row r="15" spans="1:18" x14ac:dyDescent="0.3">
      <c r="A15" t="s">
        <v>48</v>
      </c>
      <c r="B15" s="1">
        <v>45388</v>
      </c>
      <c r="C15" s="1">
        <v>45965</v>
      </c>
      <c r="D15" t="s">
        <v>24</v>
      </c>
      <c r="E15" t="s">
        <v>13</v>
      </c>
      <c r="F15" t="s">
        <v>14</v>
      </c>
      <c r="G15" s="2">
        <v>0</v>
      </c>
      <c r="H15" t="s">
        <v>49</v>
      </c>
      <c r="I15" t="s">
        <v>16</v>
      </c>
      <c r="J15">
        <v>1</v>
      </c>
      <c r="K15" t="s">
        <v>18</v>
      </c>
      <c r="L15" t="s">
        <v>17</v>
      </c>
      <c r="M15">
        <f>YEAR(Scaleflow[[#This Row],[Signup_Date]])</f>
        <v>2024</v>
      </c>
      <c r="N15" t="str">
        <f>TEXT(Scaleflow[[#This Row],[Signup_Date]],"MMM")</f>
        <v>Apr</v>
      </c>
      <c r="O15" t="str">
        <f>IF(Scaleflow[[#This Row],[Monthly_Revenue]]=0,"Free","Paid")</f>
        <v>Free</v>
      </c>
      <c r="P15">
        <f>YEAR(Scaleflow[[#This Row],[TransactionDate]])</f>
        <v>2025</v>
      </c>
      <c r="Q15">
        <f>MONTH(Scaleflow[[#This Row],[TransactionDate]])</f>
        <v>11</v>
      </c>
      <c r="R15" t="str">
        <f>TEXT(Scaleflow[[#This Row],[TransactionDate]],"MMM")</f>
        <v>Nov</v>
      </c>
    </row>
    <row r="16" spans="1:18" x14ac:dyDescent="0.3">
      <c r="A16" t="s">
        <v>50</v>
      </c>
      <c r="B16" s="1">
        <v>45549</v>
      </c>
      <c r="C16" s="1">
        <v>45742</v>
      </c>
      <c r="D16" t="s">
        <v>20</v>
      </c>
      <c r="E16" t="s">
        <v>39</v>
      </c>
      <c r="F16" t="s">
        <v>29</v>
      </c>
      <c r="G16" s="2">
        <v>8867</v>
      </c>
      <c r="H16" t="s">
        <v>22</v>
      </c>
      <c r="I16" t="s">
        <v>36</v>
      </c>
      <c r="J16">
        <v>3</v>
      </c>
      <c r="K16" t="s">
        <v>18</v>
      </c>
      <c r="L16" t="s">
        <v>17</v>
      </c>
      <c r="M16">
        <f>YEAR(Scaleflow[[#This Row],[Signup_Date]])</f>
        <v>2024</v>
      </c>
      <c r="N16" t="str">
        <f>TEXT(Scaleflow[[#This Row],[Signup_Date]],"MMM")</f>
        <v>Sep</v>
      </c>
      <c r="O16" t="str">
        <f>IF(Scaleflow[[#This Row],[Monthly_Revenue]]=0,"Free","Paid")</f>
        <v>Paid</v>
      </c>
      <c r="P16">
        <f>YEAR(Scaleflow[[#This Row],[TransactionDate]])</f>
        <v>2025</v>
      </c>
      <c r="Q16">
        <f>MONTH(Scaleflow[[#This Row],[TransactionDate]])</f>
        <v>3</v>
      </c>
      <c r="R16" t="str">
        <f>TEXT(Scaleflow[[#This Row],[TransactionDate]],"MMM")</f>
        <v>Mar</v>
      </c>
    </row>
    <row r="17" spans="1:18" x14ac:dyDescent="0.3">
      <c r="A17" t="s">
        <v>51</v>
      </c>
      <c r="B17" s="1">
        <v>45729</v>
      </c>
      <c r="C17" s="1">
        <v>45962</v>
      </c>
      <c r="D17" t="s">
        <v>12</v>
      </c>
      <c r="E17" t="s">
        <v>41</v>
      </c>
      <c r="F17" t="s">
        <v>29</v>
      </c>
      <c r="G17" s="2">
        <v>7686</v>
      </c>
      <c r="H17" t="s">
        <v>22</v>
      </c>
      <c r="I17" t="s">
        <v>16</v>
      </c>
      <c r="J17">
        <v>5</v>
      </c>
      <c r="K17" t="s">
        <v>18</v>
      </c>
      <c r="L17" t="s">
        <v>17</v>
      </c>
      <c r="M17">
        <f>YEAR(Scaleflow[[#This Row],[Signup_Date]])</f>
        <v>2025</v>
      </c>
      <c r="N17" t="str">
        <f>TEXT(Scaleflow[[#This Row],[Signup_Date]],"MMM")</f>
        <v>Mar</v>
      </c>
      <c r="O17" t="str">
        <f>IF(Scaleflow[[#This Row],[Monthly_Revenue]]=0,"Free","Paid")</f>
        <v>Paid</v>
      </c>
      <c r="P17">
        <f>YEAR(Scaleflow[[#This Row],[TransactionDate]])</f>
        <v>2025</v>
      </c>
      <c r="Q17">
        <f>MONTH(Scaleflow[[#This Row],[TransactionDate]])</f>
        <v>11</v>
      </c>
      <c r="R17" t="str">
        <f>TEXT(Scaleflow[[#This Row],[TransactionDate]],"MMM")</f>
        <v>Nov</v>
      </c>
    </row>
    <row r="18" spans="1:18" x14ac:dyDescent="0.3">
      <c r="A18" t="s">
        <v>52</v>
      </c>
      <c r="B18" s="1">
        <v>45107</v>
      </c>
      <c r="C18" s="1">
        <v>45155</v>
      </c>
      <c r="D18" t="s">
        <v>20</v>
      </c>
      <c r="E18" t="s">
        <v>33</v>
      </c>
      <c r="F18" t="s">
        <v>14</v>
      </c>
      <c r="G18" s="2">
        <v>0</v>
      </c>
      <c r="H18" t="s">
        <v>34</v>
      </c>
      <c r="I18" t="s">
        <v>27</v>
      </c>
      <c r="J18">
        <v>1</v>
      </c>
      <c r="K18" t="s">
        <v>18</v>
      </c>
      <c r="L18" t="s">
        <v>17</v>
      </c>
      <c r="M18">
        <f>YEAR(Scaleflow[[#This Row],[Signup_Date]])</f>
        <v>2023</v>
      </c>
      <c r="N18" t="str">
        <f>TEXT(Scaleflow[[#This Row],[Signup_Date]],"MMM")</f>
        <v>Jun</v>
      </c>
      <c r="O18" t="str">
        <f>IF(Scaleflow[[#This Row],[Monthly_Revenue]]=0,"Free","Paid")</f>
        <v>Free</v>
      </c>
      <c r="P18">
        <f>YEAR(Scaleflow[[#This Row],[TransactionDate]])</f>
        <v>2023</v>
      </c>
      <c r="Q18">
        <f>MONTH(Scaleflow[[#This Row],[TransactionDate]])</f>
        <v>8</v>
      </c>
      <c r="R18" t="str">
        <f>TEXT(Scaleflow[[#This Row],[TransactionDate]],"MMM")</f>
        <v>Aug</v>
      </c>
    </row>
    <row r="19" spans="1:18" x14ac:dyDescent="0.3">
      <c r="A19" t="s">
        <v>53</v>
      </c>
      <c r="B19" s="1">
        <v>45653</v>
      </c>
      <c r="C19" s="1">
        <v>45816</v>
      </c>
      <c r="D19" t="s">
        <v>20</v>
      </c>
      <c r="E19" t="s">
        <v>25</v>
      </c>
      <c r="F19" t="s">
        <v>14</v>
      </c>
      <c r="G19" s="2">
        <v>0</v>
      </c>
      <c r="H19" t="s">
        <v>49</v>
      </c>
      <c r="I19" t="s">
        <v>16</v>
      </c>
      <c r="J19">
        <v>4</v>
      </c>
      <c r="K19" t="s">
        <v>18</v>
      </c>
      <c r="L19" t="s">
        <v>17</v>
      </c>
      <c r="M19">
        <f>YEAR(Scaleflow[[#This Row],[Signup_Date]])</f>
        <v>2024</v>
      </c>
      <c r="N19" t="str">
        <f>TEXT(Scaleflow[[#This Row],[Signup_Date]],"MMM")</f>
        <v>Dec</v>
      </c>
      <c r="O19" t="str">
        <f>IF(Scaleflow[[#This Row],[Monthly_Revenue]]=0,"Free","Paid")</f>
        <v>Free</v>
      </c>
      <c r="P19">
        <f>YEAR(Scaleflow[[#This Row],[TransactionDate]])</f>
        <v>2025</v>
      </c>
      <c r="Q19">
        <f>MONTH(Scaleflow[[#This Row],[TransactionDate]])</f>
        <v>6</v>
      </c>
      <c r="R19" t="str">
        <f>TEXT(Scaleflow[[#This Row],[TransactionDate]],"MMM")</f>
        <v>Jun</v>
      </c>
    </row>
    <row r="20" spans="1:18" x14ac:dyDescent="0.3">
      <c r="A20" t="s">
        <v>54</v>
      </c>
      <c r="B20" s="1">
        <v>45410</v>
      </c>
      <c r="C20" s="1">
        <v>45879</v>
      </c>
      <c r="D20" t="s">
        <v>24</v>
      </c>
      <c r="E20" t="s">
        <v>25</v>
      </c>
      <c r="F20" t="s">
        <v>12</v>
      </c>
      <c r="G20" s="2">
        <v>184406</v>
      </c>
      <c r="H20" t="s">
        <v>30</v>
      </c>
      <c r="I20" t="s">
        <v>16</v>
      </c>
      <c r="J20">
        <v>4</v>
      </c>
      <c r="K20" t="s">
        <v>17</v>
      </c>
      <c r="L20" t="s">
        <v>18</v>
      </c>
      <c r="M20">
        <f>YEAR(Scaleflow[[#This Row],[Signup_Date]])</f>
        <v>2024</v>
      </c>
      <c r="N20" t="str">
        <f>TEXT(Scaleflow[[#This Row],[Signup_Date]],"MMM")</f>
        <v>Apr</v>
      </c>
      <c r="O20" t="str">
        <f>IF(Scaleflow[[#This Row],[Monthly_Revenue]]=0,"Free","Paid")</f>
        <v>Paid</v>
      </c>
      <c r="P20">
        <f>YEAR(Scaleflow[[#This Row],[TransactionDate]])</f>
        <v>2025</v>
      </c>
      <c r="Q20">
        <f>MONTH(Scaleflow[[#This Row],[TransactionDate]])</f>
        <v>8</v>
      </c>
      <c r="R20" t="str">
        <f>TEXT(Scaleflow[[#This Row],[TransactionDate]],"MMM")</f>
        <v>Aug</v>
      </c>
    </row>
    <row r="21" spans="1:18" x14ac:dyDescent="0.3">
      <c r="A21" t="s">
        <v>55</v>
      </c>
      <c r="B21" s="1">
        <v>45084</v>
      </c>
      <c r="C21" s="1">
        <v>45800</v>
      </c>
      <c r="D21" t="s">
        <v>12</v>
      </c>
      <c r="E21" t="s">
        <v>25</v>
      </c>
      <c r="F21" t="s">
        <v>46</v>
      </c>
      <c r="G21" s="2">
        <v>40140</v>
      </c>
      <c r="H21" t="s">
        <v>30</v>
      </c>
      <c r="I21" t="s">
        <v>42</v>
      </c>
      <c r="J21">
        <v>4</v>
      </c>
      <c r="K21" t="s">
        <v>18</v>
      </c>
      <c r="L21" t="s">
        <v>17</v>
      </c>
      <c r="M21">
        <f>YEAR(Scaleflow[[#This Row],[Signup_Date]])</f>
        <v>2023</v>
      </c>
      <c r="N21" t="str">
        <f>TEXT(Scaleflow[[#This Row],[Signup_Date]],"MMM")</f>
        <v>Jun</v>
      </c>
      <c r="O21" t="str">
        <f>IF(Scaleflow[[#This Row],[Monthly_Revenue]]=0,"Free","Paid")</f>
        <v>Paid</v>
      </c>
      <c r="P21">
        <f>YEAR(Scaleflow[[#This Row],[TransactionDate]])</f>
        <v>2025</v>
      </c>
      <c r="Q21">
        <f>MONTH(Scaleflow[[#This Row],[TransactionDate]])</f>
        <v>5</v>
      </c>
      <c r="R21" t="str">
        <f>TEXT(Scaleflow[[#This Row],[TransactionDate]],"MMM")</f>
        <v>May</v>
      </c>
    </row>
    <row r="22" spans="1:18" x14ac:dyDescent="0.3">
      <c r="A22" t="s">
        <v>56</v>
      </c>
      <c r="B22" s="1">
        <v>45046</v>
      </c>
      <c r="C22" s="1">
        <v>45145</v>
      </c>
      <c r="D22" t="s">
        <v>24</v>
      </c>
      <c r="E22" t="s">
        <v>33</v>
      </c>
      <c r="F22" t="s">
        <v>14</v>
      </c>
      <c r="G22" s="2">
        <v>0</v>
      </c>
      <c r="H22" t="s">
        <v>26</v>
      </c>
      <c r="I22" t="s">
        <v>31</v>
      </c>
      <c r="J22">
        <v>4</v>
      </c>
      <c r="K22" t="s">
        <v>18</v>
      </c>
      <c r="L22" t="s">
        <v>17</v>
      </c>
      <c r="M22">
        <f>YEAR(Scaleflow[[#This Row],[Signup_Date]])</f>
        <v>2023</v>
      </c>
      <c r="N22" t="str">
        <f>TEXT(Scaleflow[[#This Row],[Signup_Date]],"MMM")</f>
        <v>Apr</v>
      </c>
      <c r="O22" t="str">
        <f>IF(Scaleflow[[#This Row],[Monthly_Revenue]]=0,"Free","Paid")</f>
        <v>Free</v>
      </c>
      <c r="P22">
        <f>YEAR(Scaleflow[[#This Row],[TransactionDate]])</f>
        <v>2023</v>
      </c>
      <c r="Q22">
        <f>MONTH(Scaleflow[[#This Row],[TransactionDate]])</f>
        <v>8</v>
      </c>
      <c r="R22" t="str">
        <f>TEXT(Scaleflow[[#This Row],[TransactionDate]],"MMM")</f>
        <v>Aug</v>
      </c>
    </row>
    <row r="23" spans="1:18" x14ac:dyDescent="0.3">
      <c r="A23" t="s">
        <v>57</v>
      </c>
      <c r="B23" s="1">
        <v>45416</v>
      </c>
      <c r="C23" s="1">
        <v>45696</v>
      </c>
      <c r="D23" t="s">
        <v>24</v>
      </c>
      <c r="E23" t="s">
        <v>39</v>
      </c>
      <c r="F23" t="s">
        <v>12</v>
      </c>
      <c r="G23" s="2">
        <v>229209</v>
      </c>
      <c r="H23" t="s">
        <v>30</v>
      </c>
      <c r="I23" t="s">
        <v>27</v>
      </c>
      <c r="J23">
        <v>3</v>
      </c>
      <c r="K23" t="s">
        <v>18</v>
      </c>
      <c r="L23" t="s">
        <v>17</v>
      </c>
      <c r="M23">
        <f>YEAR(Scaleflow[[#This Row],[Signup_Date]])</f>
        <v>2024</v>
      </c>
      <c r="N23" t="str">
        <f>TEXT(Scaleflow[[#This Row],[Signup_Date]],"MMM")</f>
        <v>May</v>
      </c>
      <c r="O23" t="str">
        <f>IF(Scaleflow[[#This Row],[Monthly_Revenue]]=0,"Free","Paid")</f>
        <v>Paid</v>
      </c>
      <c r="P23">
        <f>YEAR(Scaleflow[[#This Row],[TransactionDate]])</f>
        <v>2025</v>
      </c>
      <c r="Q23">
        <f>MONTH(Scaleflow[[#This Row],[TransactionDate]])</f>
        <v>2</v>
      </c>
      <c r="R23" t="str">
        <f>TEXT(Scaleflow[[#This Row],[TransactionDate]],"MMM")</f>
        <v>Feb</v>
      </c>
    </row>
    <row r="24" spans="1:18" x14ac:dyDescent="0.3">
      <c r="A24" t="s">
        <v>58</v>
      </c>
      <c r="B24" s="1">
        <v>45868</v>
      </c>
      <c r="C24" s="1">
        <v>45910</v>
      </c>
      <c r="D24" t="s">
        <v>20</v>
      </c>
      <c r="E24" t="s">
        <v>21</v>
      </c>
      <c r="F24" t="s">
        <v>29</v>
      </c>
      <c r="G24" s="2">
        <v>17518</v>
      </c>
      <c r="H24" t="s">
        <v>49</v>
      </c>
      <c r="I24" t="s">
        <v>36</v>
      </c>
      <c r="J24">
        <v>1</v>
      </c>
      <c r="K24" t="s">
        <v>18</v>
      </c>
      <c r="L24" t="s">
        <v>17</v>
      </c>
      <c r="M24">
        <f>YEAR(Scaleflow[[#This Row],[Signup_Date]])</f>
        <v>2025</v>
      </c>
      <c r="N24" t="str">
        <f>TEXT(Scaleflow[[#This Row],[Signup_Date]],"MMM")</f>
        <v>Jul</v>
      </c>
      <c r="O24" t="str">
        <f>IF(Scaleflow[[#This Row],[Monthly_Revenue]]=0,"Free","Paid")</f>
        <v>Paid</v>
      </c>
      <c r="P24">
        <f>YEAR(Scaleflow[[#This Row],[TransactionDate]])</f>
        <v>2025</v>
      </c>
      <c r="Q24">
        <f>MONTH(Scaleflow[[#This Row],[TransactionDate]])</f>
        <v>9</v>
      </c>
      <c r="R24" t="str">
        <f>TEXT(Scaleflow[[#This Row],[TransactionDate]],"MMM")</f>
        <v>Sep</v>
      </c>
    </row>
    <row r="25" spans="1:18" x14ac:dyDescent="0.3">
      <c r="A25" t="s">
        <v>59</v>
      </c>
      <c r="B25" s="1">
        <v>45876</v>
      </c>
      <c r="C25" s="1">
        <v>45920</v>
      </c>
      <c r="D25" t="s">
        <v>24</v>
      </c>
      <c r="E25" t="s">
        <v>21</v>
      </c>
      <c r="F25" t="s">
        <v>46</v>
      </c>
      <c r="G25" s="2">
        <v>27940</v>
      </c>
      <c r="H25" t="s">
        <v>34</v>
      </c>
      <c r="I25" t="s">
        <v>31</v>
      </c>
      <c r="J25">
        <v>5</v>
      </c>
      <c r="K25" t="s">
        <v>18</v>
      </c>
      <c r="L25" t="s">
        <v>17</v>
      </c>
      <c r="M25">
        <f>YEAR(Scaleflow[[#This Row],[Signup_Date]])</f>
        <v>2025</v>
      </c>
      <c r="N25" t="str">
        <f>TEXT(Scaleflow[[#This Row],[Signup_Date]],"MMM")</f>
        <v>Aug</v>
      </c>
      <c r="O25" t="str">
        <f>IF(Scaleflow[[#This Row],[Monthly_Revenue]]=0,"Free","Paid")</f>
        <v>Paid</v>
      </c>
      <c r="P25">
        <f>YEAR(Scaleflow[[#This Row],[TransactionDate]])</f>
        <v>2025</v>
      </c>
      <c r="Q25">
        <f>MONTH(Scaleflow[[#This Row],[TransactionDate]])</f>
        <v>9</v>
      </c>
      <c r="R25" t="str">
        <f>TEXT(Scaleflow[[#This Row],[TransactionDate]],"MMM")</f>
        <v>Sep</v>
      </c>
    </row>
    <row r="26" spans="1:18" x14ac:dyDescent="0.3">
      <c r="A26" t="s">
        <v>60</v>
      </c>
      <c r="B26" s="1">
        <v>45769</v>
      </c>
      <c r="C26" s="1">
        <v>45845</v>
      </c>
      <c r="D26" t="s">
        <v>24</v>
      </c>
      <c r="E26" t="s">
        <v>41</v>
      </c>
      <c r="F26" t="s">
        <v>14</v>
      </c>
      <c r="G26" s="2">
        <v>0</v>
      </c>
      <c r="H26" t="s">
        <v>15</v>
      </c>
      <c r="I26" t="s">
        <v>36</v>
      </c>
      <c r="J26">
        <v>3</v>
      </c>
      <c r="K26" t="s">
        <v>17</v>
      </c>
      <c r="L26" t="s">
        <v>18</v>
      </c>
      <c r="M26">
        <f>YEAR(Scaleflow[[#This Row],[Signup_Date]])</f>
        <v>2025</v>
      </c>
      <c r="N26" t="str">
        <f>TEXT(Scaleflow[[#This Row],[Signup_Date]],"MMM")</f>
        <v>Apr</v>
      </c>
      <c r="O26" t="str">
        <f>IF(Scaleflow[[#This Row],[Monthly_Revenue]]=0,"Free","Paid")</f>
        <v>Free</v>
      </c>
      <c r="P26">
        <f>YEAR(Scaleflow[[#This Row],[TransactionDate]])</f>
        <v>2025</v>
      </c>
      <c r="Q26">
        <f>MONTH(Scaleflow[[#This Row],[TransactionDate]])</f>
        <v>7</v>
      </c>
      <c r="R26" t="str">
        <f>TEXT(Scaleflow[[#This Row],[TransactionDate]],"MMM")</f>
        <v>Jul</v>
      </c>
    </row>
    <row r="27" spans="1:18" x14ac:dyDescent="0.3">
      <c r="A27" t="s">
        <v>61</v>
      </c>
      <c r="B27" s="1">
        <v>45550</v>
      </c>
      <c r="C27" s="1">
        <v>45959</v>
      </c>
      <c r="D27" t="s">
        <v>24</v>
      </c>
      <c r="E27" t="s">
        <v>25</v>
      </c>
      <c r="F27" t="s">
        <v>46</v>
      </c>
      <c r="G27" s="2">
        <v>41992</v>
      </c>
      <c r="H27" t="s">
        <v>15</v>
      </c>
      <c r="I27" t="s">
        <v>42</v>
      </c>
      <c r="J27">
        <v>1</v>
      </c>
      <c r="K27" t="s">
        <v>17</v>
      </c>
      <c r="L27" t="s">
        <v>18</v>
      </c>
      <c r="M27">
        <f>YEAR(Scaleflow[[#This Row],[Signup_Date]])</f>
        <v>2024</v>
      </c>
      <c r="N27" t="str">
        <f>TEXT(Scaleflow[[#This Row],[Signup_Date]],"MMM")</f>
        <v>Sep</v>
      </c>
      <c r="O27" t="str">
        <f>IF(Scaleflow[[#This Row],[Monthly_Revenue]]=0,"Free","Paid")</f>
        <v>Paid</v>
      </c>
      <c r="P27">
        <f>YEAR(Scaleflow[[#This Row],[TransactionDate]])</f>
        <v>2025</v>
      </c>
      <c r="Q27">
        <f>MONTH(Scaleflow[[#This Row],[TransactionDate]])</f>
        <v>10</v>
      </c>
      <c r="R27" t="str">
        <f>TEXT(Scaleflow[[#This Row],[TransactionDate]],"MMM")</f>
        <v>Oct</v>
      </c>
    </row>
    <row r="28" spans="1:18" x14ac:dyDescent="0.3">
      <c r="A28" t="s">
        <v>62</v>
      </c>
      <c r="B28" s="1">
        <v>45553</v>
      </c>
      <c r="C28" s="1">
        <v>45692</v>
      </c>
      <c r="D28" t="s">
        <v>24</v>
      </c>
      <c r="E28" t="s">
        <v>21</v>
      </c>
      <c r="F28" t="s">
        <v>29</v>
      </c>
      <c r="G28" s="2">
        <v>11703</v>
      </c>
      <c r="H28" t="s">
        <v>22</v>
      </c>
      <c r="I28" t="s">
        <v>36</v>
      </c>
      <c r="J28">
        <v>5</v>
      </c>
      <c r="K28" t="s">
        <v>17</v>
      </c>
      <c r="L28" t="s">
        <v>18</v>
      </c>
      <c r="M28">
        <f>YEAR(Scaleflow[[#This Row],[Signup_Date]])</f>
        <v>2024</v>
      </c>
      <c r="N28" t="str">
        <f>TEXT(Scaleflow[[#This Row],[Signup_Date]],"MMM")</f>
        <v>Sep</v>
      </c>
      <c r="O28" t="str">
        <f>IF(Scaleflow[[#This Row],[Monthly_Revenue]]=0,"Free","Paid")</f>
        <v>Paid</v>
      </c>
      <c r="P28">
        <f>YEAR(Scaleflow[[#This Row],[TransactionDate]])</f>
        <v>2025</v>
      </c>
      <c r="Q28">
        <f>MONTH(Scaleflow[[#This Row],[TransactionDate]])</f>
        <v>2</v>
      </c>
      <c r="R28" t="str">
        <f>TEXT(Scaleflow[[#This Row],[TransactionDate]],"MMM")</f>
        <v>Feb</v>
      </c>
    </row>
    <row r="29" spans="1:18" x14ac:dyDescent="0.3">
      <c r="A29" t="s">
        <v>63</v>
      </c>
      <c r="B29" s="1">
        <v>45477</v>
      </c>
      <c r="C29" s="1">
        <v>45875</v>
      </c>
      <c r="D29" t="s">
        <v>24</v>
      </c>
      <c r="E29" t="s">
        <v>41</v>
      </c>
      <c r="F29" t="s">
        <v>29</v>
      </c>
      <c r="G29" s="2">
        <v>17994</v>
      </c>
      <c r="H29" t="s">
        <v>22</v>
      </c>
      <c r="I29" t="s">
        <v>36</v>
      </c>
      <c r="J29">
        <v>5</v>
      </c>
      <c r="K29" t="s">
        <v>18</v>
      </c>
      <c r="L29" t="s">
        <v>17</v>
      </c>
      <c r="M29">
        <f>YEAR(Scaleflow[[#This Row],[Signup_Date]])</f>
        <v>2024</v>
      </c>
      <c r="N29" t="str">
        <f>TEXT(Scaleflow[[#This Row],[Signup_Date]],"MMM")</f>
        <v>Jul</v>
      </c>
      <c r="O29" t="str">
        <f>IF(Scaleflow[[#This Row],[Monthly_Revenue]]=0,"Free","Paid")</f>
        <v>Paid</v>
      </c>
      <c r="P29">
        <f>YEAR(Scaleflow[[#This Row],[TransactionDate]])</f>
        <v>2025</v>
      </c>
      <c r="Q29">
        <f>MONTH(Scaleflow[[#This Row],[TransactionDate]])</f>
        <v>8</v>
      </c>
      <c r="R29" t="str">
        <f>TEXT(Scaleflow[[#This Row],[TransactionDate]],"MMM")</f>
        <v>Aug</v>
      </c>
    </row>
    <row r="30" spans="1:18" x14ac:dyDescent="0.3">
      <c r="A30" t="s">
        <v>64</v>
      </c>
      <c r="B30" s="1">
        <v>45402</v>
      </c>
      <c r="C30" s="1">
        <v>45513</v>
      </c>
      <c r="D30" t="s">
        <v>12</v>
      </c>
      <c r="E30" t="s">
        <v>33</v>
      </c>
      <c r="F30" t="s">
        <v>46</v>
      </c>
      <c r="G30" s="2">
        <v>45943</v>
      </c>
      <c r="H30" t="s">
        <v>34</v>
      </c>
      <c r="I30" t="s">
        <v>27</v>
      </c>
      <c r="J30">
        <v>3</v>
      </c>
      <c r="K30" t="s">
        <v>17</v>
      </c>
      <c r="L30" t="s">
        <v>18</v>
      </c>
      <c r="M30">
        <f>YEAR(Scaleflow[[#This Row],[Signup_Date]])</f>
        <v>2024</v>
      </c>
      <c r="N30" t="str">
        <f>TEXT(Scaleflow[[#This Row],[Signup_Date]],"MMM")</f>
        <v>Apr</v>
      </c>
      <c r="O30" t="str">
        <f>IF(Scaleflow[[#This Row],[Monthly_Revenue]]=0,"Free","Paid")</f>
        <v>Paid</v>
      </c>
      <c r="P30">
        <f>YEAR(Scaleflow[[#This Row],[TransactionDate]])</f>
        <v>2024</v>
      </c>
      <c r="Q30">
        <f>MONTH(Scaleflow[[#This Row],[TransactionDate]])</f>
        <v>8</v>
      </c>
      <c r="R30" t="str">
        <f>TEXT(Scaleflow[[#This Row],[TransactionDate]],"MMM")</f>
        <v>Aug</v>
      </c>
    </row>
    <row r="31" spans="1:18" x14ac:dyDescent="0.3">
      <c r="A31" t="s">
        <v>65</v>
      </c>
      <c r="B31" s="1">
        <v>45043</v>
      </c>
      <c r="C31" s="1">
        <v>45138</v>
      </c>
      <c r="D31" t="s">
        <v>20</v>
      </c>
      <c r="E31" t="s">
        <v>25</v>
      </c>
      <c r="F31" t="s">
        <v>14</v>
      </c>
      <c r="G31" s="2">
        <v>0</v>
      </c>
      <c r="H31" t="s">
        <v>15</v>
      </c>
      <c r="I31" t="s">
        <v>27</v>
      </c>
      <c r="J31">
        <v>4</v>
      </c>
      <c r="K31" t="s">
        <v>18</v>
      </c>
      <c r="L31" t="s">
        <v>17</v>
      </c>
      <c r="M31">
        <f>YEAR(Scaleflow[[#This Row],[Signup_Date]])</f>
        <v>2023</v>
      </c>
      <c r="N31" t="str">
        <f>TEXT(Scaleflow[[#This Row],[Signup_Date]],"MMM")</f>
        <v>Apr</v>
      </c>
      <c r="O31" t="str">
        <f>IF(Scaleflow[[#This Row],[Monthly_Revenue]]=0,"Free","Paid")</f>
        <v>Free</v>
      </c>
      <c r="P31">
        <f>YEAR(Scaleflow[[#This Row],[TransactionDate]])</f>
        <v>2023</v>
      </c>
      <c r="Q31">
        <f>MONTH(Scaleflow[[#This Row],[TransactionDate]])</f>
        <v>7</v>
      </c>
      <c r="R31" t="str">
        <f>TEXT(Scaleflow[[#This Row],[TransactionDate]],"MMM")</f>
        <v>Jul</v>
      </c>
    </row>
    <row r="32" spans="1:18" x14ac:dyDescent="0.3">
      <c r="A32" t="s">
        <v>66</v>
      </c>
      <c r="B32" s="1">
        <v>45268</v>
      </c>
      <c r="C32" s="1">
        <v>45463</v>
      </c>
      <c r="D32" t="s">
        <v>12</v>
      </c>
      <c r="E32" t="s">
        <v>33</v>
      </c>
      <c r="F32" t="s">
        <v>12</v>
      </c>
      <c r="G32" s="2">
        <v>231298</v>
      </c>
      <c r="H32" t="s">
        <v>49</v>
      </c>
      <c r="I32" t="s">
        <v>42</v>
      </c>
      <c r="J32">
        <v>0</v>
      </c>
      <c r="K32" t="s">
        <v>18</v>
      </c>
      <c r="L32" t="s">
        <v>17</v>
      </c>
      <c r="M32">
        <f>YEAR(Scaleflow[[#This Row],[Signup_Date]])</f>
        <v>2023</v>
      </c>
      <c r="N32" t="str">
        <f>TEXT(Scaleflow[[#This Row],[Signup_Date]],"MMM")</f>
        <v>Dec</v>
      </c>
      <c r="O32" t="str">
        <f>IF(Scaleflow[[#This Row],[Monthly_Revenue]]=0,"Free","Paid")</f>
        <v>Paid</v>
      </c>
      <c r="P32">
        <f>YEAR(Scaleflow[[#This Row],[TransactionDate]])</f>
        <v>2024</v>
      </c>
      <c r="Q32">
        <f>MONTH(Scaleflow[[#This Row],[TransactionDate]])</f>
        <v>6</v>
      </c>
      <c r="R32" t="str">
        <f>TEXT(Scaleflow[[#This Row],[TransactionDate]],"MMM")</f>
        <v>Jun</v>
      </c>
    </row>
    <row r="33" spans="1:18" x14ac:dyDescent="0.3">
      <c r="A33" t="s">
        <v>67</v>
      </c>
      <c r="B33" s="1">
        <v>45863</v>
      </c>
      <c r="C33" s="1">
        <v>45958</v>
      </c>
      <c r="D33" t="s">
        <v>24</v>
      </c>
      <c r="E33" t="s">
        <v>21</v>
      </c>
      <c r="F33" t="s">
        <v>29</v>
      </c>
      <c r="G33" s="2">
        <v>12128</v>
      </c>
      <c r="H33" t="s">
        <v>30</v>
      </c>
      <c r="I33" t="s">
        <v>36</v>
      </c>
      <c r="J33">
        <v>5</v>
      </c>
      <c r="K33" t="s">
        <v>18</v>
      </c>
      <c r="L33" t="s">
        <v>17</v>
      </c>
      <c r="M33">
        <f>YEAR(Scaleflow[[#This Row],[Signup_Date]])</f>
        <v>2025</v>
      </c>
      <c r="N33" t="str">
        <f>TEXT(Scaleflow[[#This Row],[Signup_Date]],"MMM")</f>
        <v>Jul</v>
      </c>
      <c r="O33" t="str">
        <f>IF(Scaleflow[[#This Row],[Monthly_Revenue]]=0,"Free","Paid")</f>
        <v>Paid</v>
      </c>
      <c r="P33">
        <f>YEAR(Scaleflow[[#This Row],[TransactionDate]])</f>
        <v>2025</v>
      </c>
      <c r="Q33">
        <f>MONTH(Scaleflow[[#This Row],[TransactionDate]])</f>
        <v>10</v>
      </c>
      <c r="R33" t="str">
        <f>TEXT(Scaleflow[[#This Row],[TransactionDate]],"MMM")</f>
        <v>Oct</v>
      </c>
    </row>
    <row r="34" spans="1:18" x14ac:dyDescent="0.3">
      <c r="A34" t="s">
        <v>68</v>
      </c>
      <c r="B34" s="1">
        <v>45830</v>
      </c>
      <c r="C34" s="1">
        <v>45873</v>
      </c>
      <c r="D34" t="s">
        <v>12</v>
      </c>
      <c r="E34" t="s">
        <v>21</v>
      </c>
      <c r="F34" t="s">
        <v>14</v>
      </c>
      <c r="G34" s="2">
        <v>0</v>
      </c>
      <c r="H34" t="s">
        <v>22</v>
      </c>
      <c r="I34" t="s">
        <v>42</v>
      </c>
      <c r="J34">
        <v>3</v>
      </c>
      <c r="K34" t="s">
        <v>17</v>
      </c>
      <c r="L34" t="s">
        <v>18</v>
      </c>
      <c r="M34">
        <f>YEAR(Scaleflow[[#This Row],[Signup_Date]])</f>
        <v>2025</v>
      </c>
      <c r="N34" t="str">
        <f>TEXT(Scaleflow[[#This Row],[Signup_Date]],"MMM")</f>
        <v>Jun</v>
      </c>
      <c r="O34" t="str">
        <f>IF(Scaleflow[[#This Row],[Monthly_Revenue]]=0,"Free","Paid")</f>
        <v>Free</v>
      </c>
      <c r="P34">
        <f>YEAR(Scaleflow[[#This Row],[TransactionDate]])</f>
        <v>2025</v>
      </c>
      <c r="Q34">
        <f>MONTH(Scaleflow[[#This Row],[TransactionDate]])</f>
        <v>8</v>
      </c>
      <c r="R34" t="str">
        <f>TEXT(Scaleflow[[#This Row],[TransactionDate]],"MMM")</f>
        <v>Aug</v>
      </c>
    </row>
    <row r="35" spans="1:18" x14ac:dyDescent="0.3">
      <c r="A35" t="s">
        <v>69</v>
      </c>
      <c r="B35" s="1">
        <v>45657</v>
      </c>
      <c r="C35" s="1">
        <v>45740</v>
      </c>
      <c r="D35" t="s">
        <v>24</v>
      </c>
      <c r="E35" t="s">
        <v>33</v>
      </c>
      <c r="F35" t="s">
        <v>12</v>
      </c>
      <c r="G35" s="2">
        <v>109739</v>
      </c>
      <c r="H35" t="s">
        <v>26</v>
      </c>
      <c r="I35" t="s">
        <v>36</v>
      </c>
      <c r="J35">
        <v>5</v>
      </c>
      <c r="K35" t="s">
        <v>18</v>
      </c>
      <c r="L35" t="s">
        <v>17</v>
      </c>
      <c r="M35">
        <f>YEAR(Scaleflow[[#This Row],[Signup_Date]])</f>
        <v>2024</v>
      </c>
      <c r="N35" t="str">
        <f>TEXT(Scaleflow[[#This Row],[Signup_Date]],"MMM")</f>
        <v>Dec</v>
      </c>
      <c r="O35" t="str">
        <f>IF(Scaleflow[[#This Row],[Monthly_Revenue]]=0,"Free","Paid")</f>
        <v>Paid</v>
      </c>
      <c r="P35">
        <f>YEAR(Scaleflow[[#This Row],[TransactionDate]])</f>
        <v>2025</v>
      </c>
      <c r="Q35">
        <f>MONTH(Scaleflow[[#This Row],[TransactionDate]])</f>
        <v>3</v>
      </c>
      <c r="R35" t="str">
        <f>TEXT(Scaleflow[[#This Row],[TransactionDate]],"MMM")</f>
        <v>Mar</v>
      </c>
    </row>
    <row r="36" spans="1:18" x14ac:dyDescent="0.3">
      <c r="A36" t="s">
        <v>70</v>
      </c>
      <c r="B36" s="1">
        <v>45080</v>
      </c>
      <c r="C36" s="1">
        <v>45215</v>
      </c>
      <c r="D36" t="s">
        <v>20</v>
      </c>
      <c r="E36" t="s">
        <v>39</v>
      </c>
      <c r="F36" t="s">
        <v>29</v>
      </c>
      <c r="G36" s="2">
        <v>16606</v>
      </c>
      <c r="H36" t="s">
        <v>15</v>
      </c>
      <c r="I36" t="s">
        <v>36</v>
      </c>
      <c r="J36">
        <v>5</v>
      </c>
      <c r="K36" t="s">
        <v>18</v>
      </c>
      <c r="L36" t="s">
        <v>17</v>
      </c>
      <c r="M36">
        <f>YEAR(Scaleflow[[#This Row],[Signup_Date]])</f>
        <v>2023</v>
      </c>
      <c r="N36" t="str">
        <f>TEXT(Scaleflow[[#This Row],[Signup_Date]],"MMM")</f>
        <v>Jun</v>
      </c>
      <c r="O36" t="str">
        <f>IF(Scaleflow[[#This Row],[Monthly_Revenue]]=0,"Free","Paid")</f>
        <v>Paid</v>
      </c>
      <c r="P36">
        <f>YEAR(Scaleflow[[#This Row],[TransactionDate]])</f>
        <v>2023</v>
      </c>
      <c r="Q36">
        <f>MONTH(Scaleflow[[#This Row],[TransactionDate]])</f>
        <v>10</v>
      </c>
      <c r="R36" t="str">
        <f>TEXT(Scaleflow[[#This Row],[TransactionDate]],"MMM")</f>
        <v>Oct</v>
      </c>
    </row>
    <row r="37" spans="1:18" x14ac:dyDescent="0.3">
      <c r="A37" t="s">
        <v>71</v>
      </c>
      <c r="B37" s="1">
        <v>45264</v>
      </c>
      <c r="C37" s="1">
        <v>45744</v>
      </c>
      <c r="D37" t="s">
        <v>12</v>
      </c>
      <c r="E37" t="s">
        <v>21</v>
      </c>
      <c r="F37" t="s">
        <v>29</v>
      </c>
      <c r="G37" s="2">
        <v>17718</v>
      </c>
      <c r="H37" t="s">
        <v>49</v>
      </c>
      <c r="I37" t="s">
        <v>42</v>
      </c>
      <c r="J37">
        <v>2</v>
      </c>
      <c r="K37" t="s">
        <v>18</v>
      </c>
      <c r="L37" t="s">
        <v>17</v>
      </c>
      <c r="M37">
        <f>YEAR(Scaleflow[[#This Row],[Signup_Date]])</f>
        <v>2023</v>
      </c>
      <c r="N37" t="str">
        <f>TEXT(Scaleflow[[#This Row],[Signup_Date]],"MMM")</f>
        <v>Dec</v>
      </c>
      <c r="O37" t="str">
        <f>IF(Scaleflow[[#This Row],[Monthly_Revenue]]=0,"Free","Paid")</f>
        <v>Paid</v>
      </c>
      <c r="P37">
        <f>YEAR(Scaleflow[[#This Row],[TransactionDate]])</f>
        <v>2025</v>
      </c>
      <c r="Q37">
        <f>MONTH(Scaleflow[[#This Row],[TransactionDate]])</f>
        <v>3</v>
      </c>
      <c r="R37" t="str">
        <f>TEXT(Scaleflow[[#This Row],[TransactionDate]],"MMM")</f>
        <v>Mar</v>
      </c>
    </row>
    <row r="38" spans="1:18" x14ac:dyDescent="0.3">
      <c r="A38" t="s">
        <v>72</v>
      </c>
      <c r="B38" s="1">
        <v>45496</v>
      </c>
      <c r="C38" s="1">
        <v>45697</v>
      </c>
      <c r="D38" t="s">
        <v>12</v>
      </c>
      <c r="E38" t="s">
        <v>21</v>
      </c>
      <c r="F38" t="s">
        <v>46</v>
      </c>
      <c r="G38" s="2">
        <v>40338</v>
      </c>
      <c r="H38" t="s">
        <v>30</v>
      </c>
      <c r="I38" t="s">
        <v>27</v>
      </c>
      <c r="J38">
        <v>5</v>
      </c>
      <c r="K38" t="s">
        <v>18</v>
      </c>
      <c r="L38" t="s">
        <v>17</v>
      </c>
      <c r="M38">
        <f>YEAR(Scaleflow[[#This Row],[Signup_Date]])</f>
        <v>2024</v>
      </c>
      <c r="N38" t="str">
        <f>TEXT(Scaleflow[[#This Row],[Signup_Date]],"MMM")</f>
        <v>Jul</v>
      </c>
      <c r="O38" t="str">
        <f>IF(Scaleflow[[#This Row],[Monthly_Revenue]]=0,"Free","Paid")</f>
        <v>Paid</v>
      </c>
      <c r="P38">
        <f>YEAR(Scaleflow[[#This Row],[TransactionDate]])</f>
        <v>2025</v>
      </c>
      <c r="Q38">
        <f>MONTH(Scaleflow[[#This Row],[TransactionDate]])</f>
        <v>2</v>
      </c>
      <c r="R38" t="str">
        <f>TEXT(Scaleflow[[#This Row],[TransactionDate]],"MMM")</f>
        <v>Feb</v>
      </c>
    </row>
    <row r="39" spans="1:18" x14ac:dyDescent="0.3">
      <c r="A39" t="s">
        <v>73</v>
      </c>
      <c r="B39" s="1">
        <v>45086</v>
      </c>
      <c r="C39" s="1">
        <v>45653</v>
      </c>
      <c r="D39" t="s">
        <v>20</v>
      </c>
      <c r="E39" t="s">
        <v>41</v>
      </c>
      <c r="F39" t="s">
        <v>29</v>
      </c>
      <c r="G39" s="2">
        <v>8814</v>
      </c>
      <c r="H39" t="s">
        <v>34</v>
      </c>
      <c r="I39" t="s">
        <v>31</v>
      </c>
      <c r="J39">
        <v>5</v>
      </c>
      <c r="K39" t="s">
        <v>18</v>
      </c>
      <c r="L39" t="s">
        <v>17</v>
      </c>
      <c r="M39">
        <f>YEAR(Scaleflow[[#This Row],[Signup_Date]])</f>
        <v>2023</v>
      </c>
      <c r="N39" t="str">
        <f>TEXT(Scaleflow[[#This Row],[Signup_Date]],"MMM")</f>
        <v>Jun</v>
      </c>
      <c r="O39" t="str">
        <f>IF(Scaleflow[[#This Row],[Monthly_Revenue]]=0,"Free","Paid")</f>
        <v>Paid</v>
      </c>
      <c r="P39">
        <f>YEAR(Scaleflow[[#This Row],[TransactionDate]])</f>
        <v>2024</v>
      </c>
      <c r="Q39">
        <f>MONTH(Scaleflow[[#This Row],[TransactionDate]])</f>
        <v>12</v>
      </c>
      <c r="R39" t="str">
        <f>TEXT(Scaleflow[[#This Row],[TransactionDate]],"MMM")</f>
        <v>Dec</v>
      </c>
    </row>
    <row r="40" spans="1:18" x14ac:dyDescent="0.3">
      <c r="A40" t="s">
        <v>74</v>
      </c>
      <c r="B40" s="1">
        <v>45787</v>
      </c>
      <c r="C40" s="1">
        <v>45856</v>
      </c>
      <c r="D40" t="s">
        <v>12</v>
      </c>
      <c r="E40" t="s">
        <v>39</v>
      </c>
      <c r="F40" t="s">
        <v>12</v>
      </c>
      <c r="G40" s="2">
        <v>205207</v>
      </c>
      <c r="H40" t="s">
        <v>22</v>
      </c>
      <c r="I40" t="s">
        <v>42</v>
      </c>
      <c r="J40">
        <v>5</v>
      </c>
      <c r="K40" t="s">
        <v>17</v>
      </c>
      <c r="L40" t="s">
        <v>18</v>
      </c>
      <c r="M40">
        <f>YEAR(Scaleflow[[#This Row],[Signup_Date]])</f>
        <v>2025</v>
      </c>
      <c r="N40" t="str">
        <f>TEXT(Scaleflow[[#This Row],[Signup_Date]],"MMM")</f>
        <v>May</v>
      </c>
      <c r="O40" t="str">
        <f>IF(Scaleflow[[#This Row],[Monthly_Revenue]]=0,"Free","Paid")</f>
        <v>Paid</v>
      </c>
      <c r="P40">
        <f>YEAR(Scaleflow[[#This Row],[TransactionDate]])</f>
        <v>2025</v>
      </c>
      <c r="Q40">
        <f>MONTH(Scaleflow[[#This Row],[TransactionDate]])</f>
        <v>7</v>
      </c>
      <c r="R40" t="str">
        <f>TEXT(Scaleflow[[#This Row],[TransactionDate]],"MMM")</f>
        <v>Jul</v>
      </c>
    </row>
    <row r="41" spans="1:18" x14ac:dyDescent="0.3">
      <c r="A41" t="s">
        <v>75</v>
      </c>
      <c r="B41" s="1">
        <v>45203</v>
      </c>
      <c r="C41" s="1">
        <v>45321</v>
      </c>
      <c r="D41" t="s">
        <v>24</v>
      </c>
      <c r="E41" t="s">
        <v>39</v>
      </c>
      <c r="F41" t="s">
        <v>46</v>
      </c>
      <c r="G41" s="2">
        <v>29020</v>
      </c>
      <c r="H41" t="s">
        <v>34</v>
      </c>
      <c r="I41" t="s">
        <v>27</v>
      </c>
      <c r="J41">
        <v>1</v>
      </c>
      <c r="K41" t="s">
        <v>18</v>
      </c>
      <c r="L41" t="s">
        <v>17</v>
      </c>
      <c r="M41">
        <f>YEAR(Scaleflow[[#This Row],[Signup_Date]])</f>
        <v>2023</v>
      </c>
      <c r="N41" t="str">
        <f>TEXT(Scaleflow[[#This Row],[Signup_Date]],"MMM")</f>
        <v>Oct</v>
      </c>
      <c r="O41" t="str">
        <f>IF(Scaleflow[[#This Row],[Monthly_Revenue]]=0,"Free","Paid")</f>
        <v>Paid</v>
      </c>
      <c r="P41">
        <f>YEAR(Scaleflow[[#This Row],[TransactionDate]])</f>
        <v>2024</v>
      </c>
      <c r="Q41">
        <f>MONTH(Scaleflow[[#This Row],[TransactionDate]])</f>
        <v>1</v>
      </c>
      <c r="R41" t="str">
        <f>TEXT(Scaleflow[[#This Row],[TransactionDate]],"MMM")</f>
        <v>Jan</v>
      </c>
    </row>
    <row r="42" spans="1:18" x14ac:dyDescent="0.3">
      <c r="A42" t="s">
        <v>76</v>
      </c>
      <c r="B42" s="1">
        <v>45448</v>
      </c>
      <c r="C42" s="1">
        <v>45863</v>
      </c>
      <c r="D42" t="s">
        <v>12</v>
      </c>
      <c r="E42" t="s">
        <v>39</v>
      </c>
      <c r="F42" t="s">
        <v>46</v>
      </c>
      <c r="G42" s="2">
        <v>52265</v>
      </c>
      <c r="H42" t="s">
        <v>22</v>
      </c>
      <c r="I42" t="s">
        <v>16</v>
      </c>
      <c r="J42">
        <v>3</v>
      </c>
      <c r="K42" t="s">
        <v>18</v>
      </c>
      <c r="L42" t="s">
        <v>17</v>
      </c>
      <c r="M42">
        <f>YEAR(Scaleflow[[#This Row],[Signup_Date]])</f>
        <v>2024</v>
      </c>
      <c r="N42" t="str">
        <f>TEXT(Scaleflow[[#This Row],[Signup_Date]],"MMM")</f>
        <v>Jun</v>
      </c>
      <c r="O42" t="str">
        <f>IF(Scaleflow[[#This Row],[Monthly_Revenue]]=0,"Free","Paid")</f>
        <v>Paid</v>
      </c>
      <c r="P42">
        <f>YEAR(Scaleflow[[#This Row],[TransactionDate]])</f>
        <v>2025</v>
      </c>
      <c r="Q42">
        <f>MONTH(Scaleflow[[#This Row],[TransactionDate]])</f>
        <v>7</v>
      </c>
      <c r="R42" t="str">
        <f>TEXT(Scaleflow[[#This Row],[TransactionDate]],"MMM")</f>
        <v>Jul</v>
      </c>
    </row>
    <row r="43" spans="1:18" x14ac:dyDescent="0.3">
      <c r="A43" t="s">
        <v>77</v>
      </c>
      <c r="B43" s="1">
        <v>45368</v>
      </c>
      <c r="C43" s="1">
        <v>45394</v>
      </c>
      <c r="D43" t="s">
        <v>24</v>
      </c>
      <c r="E43" t="s">
        <v>21</v>
      </c>
      <c r="F43" t="s">
        <v>46</v>
      </c>
      <c r="G43" s="2">
        <v>38941</v>
      </c>
      <c r="H43" t="s">
        <v>34</v>
      </c>
      <c r="I43" t="s">
        <v>16</v>
      </c>
      <c r="J43">
        <v>1</v>
      </c>
      <c r="K43" t="s">
        <v>18</v>
      </c>
      <c r="L43" t="s">
        <v>17</v>
      </c>
      <c r="M43">
        <f>YEAR(Scaleflow[[#This Row],[Signup_Date]])</f>
        <v>2024</v>
      </c>
      <c r="N43" t="str">
        <f>TEXT(Scaleflow[[#This Row],[Signup_Date]],"MMM")</f>
        <v>Mar</v>
      </c>
      <c r="O43" t="str">
        <f>IF(Scaleflow[[#This Row],[Monthly_Revenue]]=0,"Free","Paid")</f>
        <v>Paid</v>
      </c>
      <c r="P43">
        <f>YEAR(Scaleflow[[#This Row],[TransactionDate]])</f>
        <v>2024</v>
      </c>
      <c r="Q43">
        <f>MONTH(Scaleflow[[#This Row],[TransactionDate]])</f>
        <v>4</v>
      </c>
      <c r="R43" t="str">
        <f>TEXT(Scaleflow[[#This Row],[TransactionDate]],"MMM")</f>
        <v>Apr</v>
      </c>
    </row>
    <row r="44" spans="1:18" x14ac:dyDescent="0.3">
      <c r="A44" t="s">
        <v>78</v>
      </c>
      <c r="B44" s="1">
        <v>45619</v>
      </c>
      <c r="C44" s="1">
        <v>45690</v>
      </c>
      <c r="D44" t="s">
        <v>24</v>
      </c>
      <c r="E44" t="s">
        <v>25</v>
      </c>
      <c r="F44" t="s">
        <v>14</v>
      </c>
      <c r="G44" s="2">
        <v>0</v>
      </c>
      <c r="H44" t="s">
        <v>22</v>
      </c>
      <c r="I44" t="s">
        <v>16</v>
      </c>
      <c r="J44">
        <v>5</v>
      </c>
      <c r="K44" t="s">
        <v>18</v>
      </c>
      <c r="L44" t="s">
        <v>17</v>
      </c>
      <c r="M44">
        <f>YEAR(Scaleflow[[#This Row],[Signup_Date]])</f>
        <v>2024</v>
      </c>
      <c r="N44" t="str">
        <f>TEXT(Scaleflow[[#This Row],[Signup_Date]],"MMM")</f>
        <v>Nov</v>
      </c>
      <c r="O44" t="str">
        <f>IF(Scaleflow[[#This Row],[Monthly_Revenue]]=0,"Free","Paid")</f>
        <v>Free</v>
      </c>
      <c r="P44">
        <f>YEAR(Scaleflow[[#This Row],[TransactionDate]])</f>
        <v>2025</v>
      </c>
      <c r="Q44">
        <f>MONTH(Scaleflow[[#This Row],[TransactionDate]])</f>
        <v>2</v>
      </c>
      <c r="R44" t="str">
        <f>TEXT(Scaleflow[[#This Row],[TransactionDate]],"MMM")</f>
        <v>Feb</v>
      </c>
    </row>
    <row r="45" spans="1:18" x14ac:dyDescent="0.3">
      <c r="A45" t="s">
        <v>79</v>
      </c>
      <c r="B45" s="1">
        <v>45877</v>
      </c>
      <c r="C45" s="1">
        <v>45883</v>
      </c>
      <c r="D45" t="s">
        <v>20</v>
      </c>
      <c r="E45" t="s">
        <v>41</v>
      </c>
      <c r="F45" t="s">
        <v>46</v>
      </c>
      <c r="G45" s="2">
        <v>41009</v>
      </c>
      <c r="H45" t="s">
        <v>15</v>
      </c>
      <c r="I45" t="s">
        <v>42</v>
      </c>
      <c r="J45">
        <v>4</v>
      </c>
      <c r="K45" t="s">
        <v>18</v>
      </c>
      <c r="L45" t="s">
        <v>17</v>
      </c>
      <c r="M45">
        <f>YEAR(Scaleflow[[#This Row],[Signup_Date]])</f>
        <v>2025</v>
      </c>
      <c r="N45" t="str">
        <f>TEXT(Scaleflow[[#This Row],[Signup_Date]],"MMM")</f>
        <v>Aug</v>
      </c>
      <c r="O45" t="str">
        <f>IF(Scaleflow[[#This Row],[Monthly_Revenue]]=0,"Free","Paid")</f>
        <v>Paid</v>
      </c>
      <c r="P45">
        <f>YEAR(Scaleflow[[#This Row],[TransactionDate]])</f>
        <v>2025</v>
      </c>
      <c r="Q45">
        <f>MONTH(Scaleflow[[#This Row],[TransactionDate]])</f>
        <v>8</v>
      </c>
      <c r="R45" t="str">
        <f>TEXT(Scaleflow[[#This Row],[TransactionDate]],"MMM")</f>
        <v>Aug</v>
      </c>
    </row>
    <row r="46" spans="1:18" x14ac:dyDescent="0.3">
      <c r="A46" t="s">
        <v>80</v>
      </c>
      <c r="B46" s="1">
        <v>45496</v>
      </c>
      <c r="C46" s="1">
        <v>45649</v>
      </c>
      <c r="D46" t="s">
        <v>24</v>
      </c>
      <c r="E46" t="s">
        <v>13</v>
      </c>
      <c r="F46" t="s">
        <v>14</v>
      </c>
      <c r="G46" s="2">
        <v>0</v>
      </c>
      <c r="H46" t="s">
        <v>22</v>
      </c>
      <c r="I46" t="s">
        <v>16</v>
      </c>
      <c r="J46">
        <v>3</v>
      </c>
      <c r="K46" t="s">
        <v>18</v>
      </c>
      <c r="L46" t="s">
        <v>17</v>
      </c>
      <c r="M46">
        <f>YEAR(Scaleflow[[#This Row],[Signup_Date]])</f>
        <v>2024</v>
      </c>
      <c r="N46" t="str">
        <f>TEXT(Scaleflow[[#This Row],[Signup_Date]],"MMM")</f>
        <v>Jul</v>
      </c>
      <c r="O46" t="str">
        <f>IF(Scaleflow[[#This Row],[Monthly_Revenue]]=0,"Free","Paid")</f>
        <v>Free</v>
      </c>
      <c r="P46">
        <f>YEAR(Scaleflow[[#This Row],[TransactionDate]])</f>
        <v>2024</v>
      </c>
      <c r="Q46">
        <f>MONTH(Scaleflow[[#This Row],[TransactionDate]])</f>
        <v>12</v>
      </c>
      <c r="R46" t="str">
        <f>TEXT(Scaleflow[[#This Row],[TransactionDate]],"MMM")</f>
        <v>Dec</v>
      </c>
    </row>
    <row r="47" spans="1:18" x14ac:dyDescent="0.3">
      <c r="A47" t="s">
        <v>81</v>
      </c>
      <c r="B47" s="1">
        <v>45161</v>
      </c>
      <c r="C47" s="1">
        <v>45909</v>
      </c>
      <c r="D47" t="s">
        <v>12</v>
      </c>
      <c r="E47" t="s">
        <v>25</v>
      </c>
      <c r="F47" t="s">
        <v>46</v>
      </c>
      <c r="G47" s="2">
        <v>55052</v>
      </c>
      <c r="H47" t="s">
        <v>15</v>
      </c>
      <c r="I47" t="s">
        <v>36</v>
      </c>
      <c r="J47">
        <v>4</v>
      </c>
      <c r="K47" t="s">
        <v>18</v>
      </c>
      <c r="L47" t="s">
        <v>17</v>
      </c>
      <c r="M47">
        <f>YEAR(Scaleflow[[#This Row],[Signup_Date]])</f>
        <v>2023</v>
      </c>
      <c r="N47" t="str">
        <f>TEXT(Scaleflow[[#This Row],[Signup_Date]],"MMM")</f>
        <v>Aug</v>
      </c>
      <c r="O47" t="str">
        <f>IF(Scaleflow[[#This Row],[Monthly_Revenue]]=0,"Free","Paid")</f>
        <v>Paid</v>
      </c>
      <c r="P47">
        <f>YEAR(Scaleflow[[#This Row],[TransactionDate]])</f>
        <v>2025</v>
      </c>
      <c r="Q47">
        <f>MONTH(Scaleflow[[#This Row],[TransactionDate]])</f>
        <v>9</v>
      </c>
      <c r="R47" t="str">
        <f>TEXT(Scaleflow[[#This Row],[TransactionDate]],"MMM")</f>
        <v>Sep</v>
      </c>
    </row>
    <row r="48" spans="1:18" x14ac:dyDescent="0.3">
      <c r="A48" t="s">
        <v>82</v>
      </c>
      <c r="B48" s="1">
        <v>45299</v>
      </c>
      <c r="C48" s="1">
        <v>45474</v>
      </c>
      <c r="D48" t="s">
        <v>20</v>
      </c>
      <c r="E48" t="s">
        <v>25</v>
      </c>
      <c r="F48" t="s">
        <v>14</v>
      </c>
      <c r="G48" s="2">
        <v>0</v>
      </c>
      <c r="H48" t="s">
        <v>22</v>
      </c>
      <c r="I48" t="s">
        <v>27</v>
      </c>
      <c r="J48">
        <v>0</v>
      </c>
      <c r="K48" t="s">
        <v>18</v>
      </c>
      <c r="L48" t="s">
        <v>17</v>
      </c>
      <c r="M48">
        <f>YEAR(Scaleflow[[#This Row],[Signup_Date]])</f>
        <v>2024</v>
      </c>
      <c r="N48" t="str">
        <f>TEXT(Scaleflow[[#This Row],[Signup_Date]],"MMM")</f>
        <v>Jan</v>
      </c>
      <c r="O48" t="str">
        <f>IF(Scaleflow[[#This Row],[Monthly_Revenue]]=0,"Free","Paid")</f>
        <v>Free</v>
      </c>
      <c r="P48">
        <f>YEAR(Scaleflow[[#This Row],[TransactionDate]])</f>
        <v>2024</v>
      </c>
      <c r="Q48">
        <f>MONTH(Scaleflow[[#This Row],[TransactionDate]])</f>
        <v>7</v>
      </c>
      <c r="R48" t="str">
        <f>TEXT(Scaleflow[[#This Row],[TransactionDate]],"MMM")</f>
        <v>Jul</v>
      </c>
    </row>
    <row r="49" spans="1:18" x14ac:dyDescent="0.3">
      <c r="A49" t="s">
        <v>83</v>
      </c>
      <c r="B49" s="1">
        <v>44967</v>
      </c>
      <c r="C49" s="1">
        <v>45380</v>
      </c>
      <c r="D49" t="s">
        <v>20</v>
      </c>
      <c r="E49" t="s">
        <v>39</v>
      </c>
      <c r="F49" t="s">
        <v>29</v>
      </c>
      <c r="G49" s="2">
        <v>8080</v>
      </c>
      <c r="H49" t="s">
        <v>22</v>
      </c>
      <c r="I49" t="s">
        <v>31</v>
      </c>
      <c r="J49">
        <v>1</v>
      </c>
      <c r="K49" t="s">
        <v>17</v>
      </c>
      <c r="L49" t="s">
        <v>18</v>
      </c>
      <c r="M49">
        <f>YEAR(Scaleflow[[#This Row],[Signup_Date]])</f>
        <v>2023</v>
      </c>
      <c r="N49" t="str">
        <f>TEXT(Scaleflow[[#This Row],[Signup_Date]],"MMM")</f>
        <v>Feb</v>
      </c>
      <c r="O49" t="str">
        <f>IF(Scaleflow[[#This Row],[Monthly_Revenue]]=0,"Free","Paid")</f>
        <v>Paid</v>
      </c>
      <c r="P49">
        <f>YEAR(Scaleflow[[#This Row],[TransactionDate]])</f>
        <v>2024</v>
      </c>
      <c r="Q49">
        <f>MONTH(Scaleflow[[#This Row],[TransactionDate]])</f>
        <v>3</v>
      </c>
      <c r="R49" t="str">
        <f>TEXT(Scaleflow[[#This Row],[TransactionDate]],"MMM")</f>
        <v>Mar</v>
      </c>
    </row>
    <row r="50" spans="1:18" x14ac:dyDescent="0.3">
      <c r="A50" t="s">
        <v>84</v>
      </c>
      <c r="B50" s="1">
        <v>45392</v>
      </c>
      <c r="C50" s="1">
        <v>45707</v>
      </c>
      <c r="D50" t="s">
        <v>20</v>
      </c>
      <c r="E50" t="s">
        <v>33</v>
      </c>
      <c r="F50" t="s">
        <v>46</v>
      </c>
      <c r="G50" s="2">
        <v>27090</v>
      </c>
      <c r="H50" t="s">
        <v>49</v>
      </c>
      <c r="I50" t="s">
        <v>31</v>
      </c>
      <c r="J50">
        <v>2</v>
      </c>
      <c r="K50" t="s">
        <v>18</v>
      </c>
      <c r="L50" t="s">
        <v>17</v>
      </c>
      <c r="M50">
        <f>YEAR(Scaleflow[[#This Row],[Signup_Date]])</f>
        <v>2024</v>
      </c>
      <c r="N50" t="str">
        <f>TEXT(Scaleflow[[#This Row],[Signup_Date]],"MMM")</f>
        <v>Apr</v>
      </c>
      <c r="O50" t="str">
        <f>IF(Scaleflow[[#This Row],[Monthly_Revenue]]=0,"Free","Paid")</f>
        <v>Paid</v>
      </c>
      <c r="P50">
        <f>YEAR(Scaleflow[[#This Row],[TransactionDate]])</f>
        <v>2025</v>
      </c>
      <c r="Q50">
        <f>MONTH(Scaleflow[[#This Row],[TransactionDate]])</f>
        <v>2</v>
      </c>
      <c r="R50" t="str">
        <f>TEXT(Scaleflow[[#This Row],[TransactionDate]],"MMM")</f>
        <v>Feb</v>
      </c>
    </row>
    <row r="51" spans="1:18" x14ac:dyDescent="0.3">
      <c r="A51" t="s">
        <v>85</v>
      </c>
      <c r="B51" s="1">
        <v>45171</v>
      </c>
      <c r="C51" s="1">
        <v>45217</v>
      </c>
      <c r="D51" t="s">
        <v>20</v>
      </c>
      <c r="E51" t="s">
        <v>21</v>
      </c>
      <c r="F51" t="s">
        <v>46</v>
      </c>
      <c r="G51" s="2">
        <v>25743</v>
      </c>
      <c r="H51" t="s">
        <v>30</v>
      </c>
      <c r="I51" t="s">
        <v>27</v>
      </c>
      <c r="J51">
        <v>2</v>
      </c>
      <c r="K51" t="s">
        <v>18</v>
      </c>
      <c r="L51" t="s">
        <v>17</v>
      </c>
      <c r="M51">
        <f>YEAR(Scaleflow[[#This Row],[Signup_Date]])</f>
        <v>2023</v>
      </c>
      <c r="N51" t="str">
        <f>TEXT(Scaleflow[[#This Row],[Signup_Date]],"MMM")</f>
        <v>Sep</v>
      </c>
      <c r="O51" t="str">
        <f>IF(Scaleflow[[#This Row],[Monthly_Revenue]]=0,"Free","Paid")</f>
        <v>Paid</v>
      </c>
      <c r="P51">
        <f>YEAR(Scaleflow[[#This Row],[TransactionDate]])</f>
        <v>2023</v>
      </c>
      <c r="Q51">
        <f>MONTH(Scaleflow[[#This Row],[TransactionDate]])</f>
        <v>10</v>
      </c>
      <c r="R51" t="str">
        <f>TEXT(Scaleflow[[#This Row],[TransactionDate]],"MMM")</f>
        <v>Oct</v>
      </c>
    </row>
    <row r="52" spans="1:18" x14ac:dyDescent="0.3">
      <c r="A52" t="s">
        <v>86</v>
      </c>
      <c r="B52" s="1">
        <v>45319</v>
      </c>
      <c r="C52" s="1">
        <v>45537</v>
      </c>
      <c r="D52" t="s">
        <v>24</v>
      </c>
      <c r="E52" t="s">
        <v>25</v>
      </c>
      <c r="F52" t="s">
        <v>29</v>
      </c>
      <c r="G52" s="2">
        <v>9997</v>
      </c>
      <c r="H52" t="s">
        <v>22</v>
      </c>
      <c r="I52" t="s">
        <v>16</v>
      </c>
      <c r="J52">
        <v>3</v>
      </c>
      <c r="K52" t="s">
        <v>18</v>
      </c>
      <c r="L52" t="s">
        <v>17</v>
      </c>
      <c r="M52">
        <f>YEAR(Scaleflow[[#This Row],[Signup_Date]])</f>
        <v>2024</v>
      </c>
      <c r="N52" t="str">
        <f>TEXT(Scaleflow[[#This Row],[Signup_Date]],"MMM")</f>
        <v>Jan</v>
      </c>
      <c r="O52" t="str">
        <f>IF(Scaleflow[[#This Row],[Monthly_Revenue]]=0,"Free","Paid")</f>
        <v>Paid</v>
      </c>
      <c r="P52">
        <f>YEAR(Scaleflow[[#This Row],[TransactionDate]])</f>
        <v>2024</v>
      </c>
      <c r="Q52">
        <f>MONTH(Scaleflow[[#This Row],[TransactionDate]])</f>
        <v>9</v>
      </c>
      <c r="R52" t="str">
        <f>TEXT(Scaleflow[[#This Row],[TransactionDate]],"MMM")</f>
        <v>Sep</v>
      </c>
    </row>
    <row r="53" spans="1:18" x14ac:dyDescent="0.3">
      <c r="A53" t="s">
        <v>87</v>
      </c>
      <c r="B53" s="1">
        <v>45288</v>
      </c>
      <c r="C53" s="1">
        <v>45543</v>
      </c>
      <c r="D53" t="s">
        <v>12</v>
      </c>
      <c r="E53" t="s">
        <v>39</v>
      </c>
      <c r="F53" t="s">
        <v>14</v>
      </c>
      <c r="G53" s="2">
        <v>0</v>
      </c>
      <c r="H53" t="s">
        <v>15</v>
      </c>
      <c r="I53" t="s">
        <v>31</v>
      </c>
      <c r="J53">
        <v>3</v>
      </c>
      <c r="K53" t="s">
        <v>18</v>
      </c>
      <c r="L53" t="s">
        <v>17</v>
      </c>
      <c r="M53">
        <f>YEAR(Scaleflow[[#This Row],[Signup_Date]])</f>
        <v>2023</v>
      </c>
      <c r="N53" t="str">
        <f>TEXT(Scaleflow[[#This Row],[Signup_Date]],"MMM")</f>
        <v>Dec</v>
      </c>
      <c r="O53" t="str">
        <f>IF(Scaleflow[[#This Row],[Monthly_Revenue]]=0,"Free","Paid")</f>
        <v>Free</v>
      </c>
      <c r="P53">
        <f>YEAR(Scaleflow[[#This Row],[TransactionDate]])</f>
        <v>2024</v>
      </c>
      <c r="Q53">
        <f>MONTH(Scaleflow[[#This Row],[TransactionDate]])</f>
        <v>9</v>
      </c>
      <c r="R53" t="str">
        <f>TEXT(Scaleflow[[#This Row],[TransactionDate]],"MMM")</f>
        <v>Sep</v>
      </c>
    </row>
    <row r="54" spans="1:18" x14ac:dyDescent="0.3">
      <c r="A54" t="s">
        <v>88</v>
      </c>
      <c r="B54" s="1">
        <v>45623</v>
      </c>
      <c r="C54" s="1">
        <v>45744</v>
      </c>
      <c r="D54" t="s">
        <v>12</v>
      </c>
      <c r="E54" t="s">
        <v>33</v>
      </c>
      <c r="F54" t="s">
        <v>29</v>
      </c>
      <c r="G54" s="2">
        <v>14701</v>
      </c>
      <c r="H54" t="s">
        <v>22</v>
      </c>
      <c r="I54" t="s">
        <v>36</v>
      </c>
      <c r="J54">
        <v>5</v>
      </c>
      <c r="K54" t="s">
        <v>18</v>
      </c>
      <c r="L54" t="s">
        <v>17</v>
      </c>
      <c r="M54">
        <f>YEAR(Scaleflow[[#This Row],[Signup_Date]])</f>
        <v>2024</v>
      </c>
      <c r="N54" t="str">
        <f>TEXT(Scaleflow[[#This Row],[Signup_Date]],"MMM")</f>
        <v>Nov</v>
      </c>
      <c r="O54" t="str">
        <f>IF(Scaleflow[[#This Row],[Monthly_Revenue]]=0,"Free","Paid")</f>
        <v>Paid</v>
      </c>
      <c r="P54">
        <f>YEAR(Scaleflow[[#This Row],[TransactionDate]])</f>
        <v>2025</v>
      </c>
      <c r="Q54">
        <f>MONTH(Scaleflow[[#This Row],[TransactionDate]])</f>
        <v>3</v>
      </c>
      <c r="R54" t="str">
        <f>TEXT(Scaleflow[[#This Row],[TransactionDate]],"MMM")</f>
        <v>Mar</v>
      </c>
    </row>
    <row r="55" spans="1:18" x14ac:dyDescent="0.3">
      <c r="A55" t="s">
        <v>89</v>
      </c>
      <c r="B55" s="1">
        <v>45434</v>
      </c>
      <c r="C55" s="1">
        <v>45747</v>
      </c>
      <c r="D55" t="s">
        <v>20</v>
      </c>
      <c r="E55" t="s">
        <v>25</v>
      </c>
      <c r="F55" t="s">
        <v>46</v>
      </c>
      <c r="G55" s="2">
        <v>32861</v>
      </c>
      <c r="H55" t="s">
        <v>30</v>
      </c>
      <c r="I55" t="s">
        <v>42</v>
      </c>
      <c r="J55">
        <v>3</v>
      </c>
      <c r="K55" t="s">
        <v>18</v>
      </c>
      <c r="L55" t="s">
        <v>17</v>
      </c>
      <c r="M55">
        <f>YEAR(Scaleflow[[#This Row],[Signup_Date]])</f>
        <v>2024</v>
      </c>
      <c r="N55" t="str">
        <f>TEXT(Scaleflow[[#This Row],[Signup_Date]],"MMM")</f>
        <v>May</v>
      </c>
      <c r="O55" t="str">
        <f>IF(Scaleflow[[#This Row],[Monthly_Revenue]]=0,"Free","Paid")</f>
        <v>Paid</v>
      </c>
      <c r="P55">
        <f>YEAR(Scaleflow[[#This Row],[TransactionDate]])</f>
        <v>2025</v>
      </c>
      <c r="Q55">
        <f>MONTH(Scaleflow[[#This Row],[TransactionDate]])</f>
        <v>3</v>
      </c>
      <c r="R55" t="str">
        <f>TEXT(Scaleflow[[#This Row],[TransactionDate]],"MMM")</f>
        <v>Mar</v>
      </c>
    </row>
    <row r="56" spans="1:18" x14ac:dyDescent="0.3">
      <c r="A56" t="s">
        <v>90</v>
      </c>
      <c r="B56" s="1">
        <v>45304</v>
      </c>
      <c r="C56" s="1">
        <v>45745</v>
      </c>
      <c r="D56" t="s">
        <v>24</v>
      </c>
      <c r="E56" t="s">
        <v>33</v>
      </c>
      <c r="F56" t="s">
        <v>29</v>
      </c>
      <c r="G56" s="2">
        <v>16955</v>
      </c>
      <c r="H56" t="s">
        <v>49</v>
      </c>
      <c r="I56" t="s">
        <v>16</v>
      </c>
      <c r="J56">
        <v>1</v>
      </c>
      <c r="K56" t="s">
        <v>18</v>
      </c>
      <c r="L56" t="s">
        <v>17</v>
      </c>
      <c r="M56">
        <f>YEAR(Scaleflow[[#This Row],[Signup_Date]])</f>
        <v>2024</v>
      </c>
      <c r="N56" t="str">
        <f>TEXT(Scaleflow[[#This Row],[Signup_Date]],"MMM")</f>
        <v>Jan</v>
      </c>
      <c r="O56" t="str">
        <f>IF(Scaleflow[[#This Row],[Monthly_Revenue]]=0,"Free","Paid")</f>
        <v>Paid</v>
      </c>
      <c r="P56">
        <f>YEAR(Scaleflow[[#This Row],[TransactionDate]])</f>
        <v>2025</v>
      </c>
      <c r="Q56">
        <f>MONTH(Scaleflow[[#This Row],[TransactionDate]])</f>
        <v>3</v>
      </c>
      <c r="R56" t="str">
        <f>TEXT(Scaleflow[[#This Row],[TransactionDate]],"MMM")</f>
        <v>Mar</v>
      </c>
    </row>
    <row r="57" spans="1:18" x14ac:dyDescent="0.3">
      <c r="A57" t="s">
        <v>91</v>
      </c>
      <c r="B57" s="1">
        <v>45868</v>
      </c>
      <c r="C57" s="1">
        <v>45985</v>
      </c>
      <c r="D57" t="s">
        <v>20</v>
      </c>
      <c r="E57" t="s">
        <v>25</v>
      </c>
      <c r="F57" t="s">
        <v>14</v>
      </c>
      <c r="G57" s="2">
        <v>0</v>
      </c>
      <c r="H57" t="s">
        <v>15</v>
      </c>
      <c r="I57" t="s">
        <v>16</v>
      </c>
      <c r="J57">
        <v>0</v>
      </c>
      <c r="K57" t="s">
        <v>18</v>
      </c>
      <c r="L57" t="s">
        <v>17</v>
      </c>
      <c r="M57">
        <f>YEAR(Scaleflow[[#This Row],[Signup_Date]])</f>
        <v>2025</v>
      </c>
      <c r="N57" t="str">
        <f>TEXT(Scaleflow[[#This Row],[Signup_Date]],"MMM")</f>
        <v>Jul</v>
      </c>
      <c r="O57" t="str">
        <f>IF(Scaleflow[[#This Row],[Monthly_Revenue]]=0,"Free","Paid")</f>
        <v>Free</v>
      </c>
      <c r="P57">
        <f>YEAR(Scaleflow[[#This Row],[TransactionDate]])</f>
        <v>2025</v>
      </c>
      <c r="Q57">
        <f>MONTH(Scaleflow[[#This Row],[TransactionDate]])</f>
        <v>11</v>
      </c>
      <c r="R57" t="str">
        <f>TEXT(Scaleflow[[#This Row],[TransactionDate]],"MMM")</f>
        <v>Nov</v>
      </c>
    </row>
    <row r="58" spans="1:18" x14ac:dyDescent="0.3">
      <c r="A58" t="s">
        <v>92</v>
      </c>
      <c r="B58" s="1">
        <v>44938</v>
      </c>
      <c r="C58" s="1">
        <v>45649</v>
      </c>
      <c r="D58" t="s">
        <v>20</v>
      </c>
      <c r="E58" t="s">
        <v>25</v>
      </c>
      <c r="F58" t="s">
        <v>29</v>
      </c>
      <c r="G58" s="2">
        <v>15574</v>
      </c>
      <c r="H58" t="s">
        <v>34</v>
      </c>
      <c r="I58" t="s">
        <v>16</v>
      </c>
      <c r="J58">
        <v>0</v>
      </c>
      <c r="K58" t="s">
        <v>17</v>
      </c>
      <c r="L58" t="s">
        <v>18</v>
      </c>
      <c r="M58">
        <f>YEAR(Scaleflow[[#This Row],[Signup_Date]])</f>
        <v>2023</v>
      </c>
      <c r="N58" t="str">
        <f>TEXT(Scaleflow[[#This Row],[Signup_Date]],"MMM")</f>
        <v>Jan</v>
      </c>
      <c r="O58" t="str">
        <f>IF(Scaleflow[[#This Row],[Monthly_Revenue]]=0,"Free","Paid")</f>
        <v>Paid</v>
      </c>
      <c r="P58">
        <f>YEAR(Scaleflow[[#This Row],[TransactionDate]])</f>
        <v>2024</v>
      </c>
      <c r="Q58">
        <f>MONTH(Scaleflow[[#This Row],[TransactionDate]])</f>
        <v>12</v>
      </c>
      <c r="R58" t="str">
        <f>TEXT(Scaleflow[[#This Row],[TransactionDate]],"MMM")</f>
        <v>Dec</v>
      </c>
    </row>
    <row r="59" spans="1:18" x14ac:dyDescent="0.3">
      <c r="A59" t="s">
        <v>93</v>
      </c>
      <c r="B59" s="1">
        <v>45837</v>
      </c>
      <c r="C59" s="1">
        <v>45877</v>
      </c>
      <c r="D59" t="s">
        <v>20</v>
      </c>
      <c r="E59" t="s">
        <v>39</v>
      </c>
      <c r="F59" t="s">
        <v>29</v>
      </c>
      <c r="G59" s="2">
        <v>8188</v>
      </c>
      <c r="H59" t="s">
        <v>26</v>
      </c>
      <c r="I59" t="s">
        <v>27</v>
      </c>
      <c r="J59">
        <v>3</v>
      </c>
      <c r="K59" t="s">
        <v>18</v>
      </c>
      <c r="L59" t="s">
        <v>17</v>
      </c>
      <c r="M59">
        <f>YEAR(Scaleflow[[#This Row],[Signup_Date]])</f>
        <v>2025</v>
      </c>
      <c r="N59" t="str">
        <f>TEXT(Scaleflow[[#This Row],[Signup_Date]],"MMM")</f>
        <v>Jun</v>
      </c>
      <c r="O59" t="str">
        <f>IF(Scaleflow[[#This Row],[Monthly_Revenue]]=0,"Free","Paid")</f>
        <v>Paid</v>
      </c>
      <c r="P59">
        <f>YEAR(Scaleflow[[#This Row],[TransactionDate]])</f>
        <v>2025</v>
      </c>
      <c r="Q59">
        <f>MONTH(Scaleflow[[#This Row],[TransactionDate]])</f>
        <v>8</v>
      </c>
      <c r="R59" t="str">
        <f>TEXT(Scaleflow[[#This Row],[TransactionDate]],"MMM")</f>
        <v>Aug</v>
      </c>
    </row>
    <row r="60" spans="1:18" x14ac:dyDescent="0.3">
      <c r="A60" t="s">
        <v>94</v>
      </c>
      <c r="B60" s="1">
        <v>45881</v>
      </c>
      <c r="C60" s="1">
        <v>45929</v>
      </c>
      <c r="D60" t="s">
        <v>24</v>
      </c>
      <c r="E60" t="s">
        <v>39</v>
      </c>
      <c r="F60" t="s">
        <v>12</v>
      </c>
      <c r="G60" s="2">
        <v>176562</v>
      </c>
      <c r="H60" t="s">
        <v>34</v>
      </c>
      <c r="I60" t="s">
        <v>31</v>
      </c>
      <c r="J60">
        <v>0</v>
      </c>
      <c r="K60" t="s">
        <v>18</v>
      </c>
      <c r="L60" t="s">
        <v>17</v>
      </c>
      <c r="M60">
        <f>YEAR(Scaleflow[[#This Row],[Signup_Date]])</f>
        <v>2025</v>
      </c>
      <c r="N60" t="str">
        <f>TEXT(Scaleflow[[#This Row],[Signup_Date]],"MMM")</f>
        <v>Aug</v>
      </c>
      <c r="O60" t="str">
        <f>IF(Scaleflow[[#This Row],[Monthly_Revenue]]=0,"Free","Paid")</f>
        <v>Paid</v>
      </c>
      <c r="P60">
        <f>YEAR(Scaleflow[[#This Row],[TransactionDate]])</f>
        <v>2025</v>
      </c>
      <c r="Q60">
        <f>MONTH(Scaleflow[[#This Row],[TransactionDate]])</f>
        <v>9</v>
      </c>
      <c r="R60" t="str">
        <f>TEXT(Scaleflow[[#This Row],[TransactionDate]],"MMM")</f>
        <v>Sep</v>
      </c>
    </row>
    <row r="61" spans="1:18" x14ac:dyDescent="0.3">
      <c r="A61" t="s">
        <v>95</v>
      </c>
      <c r="B61" s="1">
        <v>45838</v>
      </c>
      <c r="C61" s="1">
        <v>45843</v>
      </c>
      <c r="D61" t="s">
        <v>24</v>
      </c>
      <c r="E61" t="s">
        <v>25</v>
      </c>
      <c r="F61" t="s">
        <v>12</v>
      </c>
      <c r="G61" s="2">
        <v>103370</v>
      </c>
      <c r="H61" t="s">
        <v>34</v>
      </c>
      <c r="I61" t="s">
        <v>31</v>
      </c>
      <c r="J61">
        <v>4</v>
      </c>
      <c r="K61" t="s">
        <v>18</v>
      </c>
      <c r="L61" t="s">
        <v>17</v>
      </c>
      <c r="M61">
        <f>YEAR(Scaleflow[[#This Row],[Signup_Date]])</f>
        <v>2025</v>
      </c>
      <c r="N61" t="str">
        <f>TEXT(Scaleflow[[#This Row],[Signup_Date]],"MMM")</f>
        <v>Jun</v>
      </c>
      <c r="O61" t="str">
        <f>IF(Scaleflow[[#This Row],[Monthly_Revenue]]=0,"Free","Paid")</f>
        <v>Paid</v>
      </c>
      <c r="P61">
        <f>YEAR(Scaleflow[[#This Row],[TransactionDate]])</f>
        <v>2025</v>
      </c>
      <c r="Q61">
        <f>MONTH(Scaleflow[[#This Row],[TransactionDate]])</f>
        <v>7</v>
      </c>
      <c r="R61" t="str">
        <f>TEXT(Scaleflow[[#This Row],[TransactionDate]],"MMM")</f>
        <v>Jul</v>
      </c>
    </row>
    <row r="62" spans="1:18" x14ac:dyDescent="0.3">
      <c r="A62" t="s">
        <v>96</v>
      </c>
      <c r="B62" s="1">
        <v>45666</v>
      </c>
      <c r="C62" s="1">
        <v>45885</v>
      </c>
      <c r="D62" t="s">
        <v>24</v>
      </c>
      <c r="E62" t="s">
        <v>25</v>
      </c>
      <c r="F62" t="s">
        <v>14</v>
      </c>
      <c r="G62" s="2">
        <v>0</v>
      </c>
      <c r="H62" t="s">
        <v>34</v>
      </c>
      <c r="I62" t="s">
        <v>31</v>
      </c>
      <c r="J62">
        <v>1</v>
      </c>
      <c r="K62" t="s">
        <v>18</v>
      </c>
      <c r="L62" t="s">
        <v>17</v>
      </c>
      <c r="M62">
        <f>YEAR(Scaleflow[[#This Row],[Signup_Date]])</f>
        <v>2025</v>
      </c>
      <c r="N62" t="str">
        <f>TEXT(Scaleflow[[#This Row],[Signup_Date]],"MMM")</f>
        <v>Jan</v>
      </c>
      <c r="O62" t="str">
        <f>IF(Scaleflow[[#This Row],[Monthly_Revenue]]=0,"Free","Paid")</f>
        <v>Free</v>
      </c>
      <c r="P62">
        <f>YEAR(Scaleflow[[#This Row],[TransactionDate]])</f>
        <v>2025</v>
      </c>
      <c r="Q62">
        <f>MONTH(Scaleflow[[#This Row],[TransactionDate]])</f>
        <v>8</v>
      </c>
      <c r="R62" t="str">
        <f>TEXT(Scaleflow[[#This Row],[TransactionDate]],"MMM")</f>
        <v>Aug</v>
      </c>
    </row>
    <row r="63" spans="1:18" x14ac:dyDescent="0.3">
      <c r="A63" t="s">
        <v>97</v>
      </c>
      <c r="B63" s="1">
        <v>45686</v>
      </c>
      <c r="C63" s="1">
        <v>45964</v>
      </c>
      <c r="D63" t="s">
        <v>20</v>
      </c>
      <c r="E63" t="s">
        <v>21</v>
      </c>
      <c r="F63" t="s">
        <v>14</v>
      </c>
      <c r="G63" s="2">
        <v>0</v>
      </c>
      <c r="H63" t="s">
        <v>34</v>
      </c>
      <c r="I63" t="s">
        <v>36</v>
      </c>
      <c r="J63">
        <v>3</v>
      </c>
      <c r="K63" t="s">
        <v>18</v>
      </c>
      <c r="L63" t="s">
        <v>17</v>
      </c>
      <c r="M63">
        <f>YEAR(Scaleflow[[#This Row],[Signup_Date]])</f>
        <v>2025</v>
      </c>
      <c r="N63" t="str">
        <f>TEXT(Scaleflow[[#This Row],[Signup_Date]],"MMM")</f>
        <v>Jan</v>
      </c>
      <c r="O63" t="str">
        <f>IF(Scaleflow[[#This Row],[Monthly_Revenue]]=0,"Free","Paid")</f>
        <v>Free</v>
      </c>
      <c r="P63">
        <f>YEAR(Scaleflow[[#This Row],[TransactionDate]])</f>
        <v>2025</v>
      </c>
      <c r="Q63">
        <f>MONTH(Scaleflow[[#This Row],[TransactionDate]])</f>
        <v>11</v>
      </c>
      <c r="R63" t="str">
        <f>TEXT(Scaleflow[[#This Row],[TransactionDate]],"MMM")</f>
        <v>Nov</v>
      </c>
    </row>
    <row r="64" spans="1:18" x14ac:dyDescent="0.3">
      <c r="A64" t="s">
        <v>98</v>
      </c>
      <c r="B64" s="1">
        <v>45698</v>
      </c>
      <c r="C64" s="1">
        <v>45846</v>
      </c>
      <c r="D64" t="s">
        <v>24</v>
      </c>
      <c r="E64" t="s">
        <v>39</v>
      </c>
      <c r="F64" t="s">
        <v>12</v>
      </c>
      <c r="G64" s="2">
        <v>160163</v>
      </c>
      <c r="H64" t="s">
        <v>30</v>
      </c>
      <c r="I64" t="s">
        <v>31</v>
      </c>
      <c r="J64">
        <v>1</v>
      </c>
      <c r="K64" t="s">
        <v>18</v>
      </c>
      <c r="L64" t="s">
        <v>17</v>
      </c>
      <c r="M64">
        <f>YEAR(Scaleflow[[#This Row],[Signup_Date]])</f>
        <v>2025</v>
      </c>
      <c r="N64" t="str">
        <f>TEXT(Scaleflow[[#This Row],[Signup_Date]],"MMM")</f>
        <v>Feb</v>
      </c>
      <c r="O64" t="str">
        <f>IF(Scaleflow[[#This Row],[Monthly_Revenue]]=0,"Free","Paid")</f>
        <v>Paid</v>
      </c>
      <c r="P64">
        <f>YEAR(Scaleflow[[#This Row],[TransactionDate]])</f>
        <v>2025</v>
      </c>
      <c r="Q64">
        <f>MONTH(Scaleflow[[#This Row],[TransactionDate]])</f>
        <v>7</v>
      </c>
      <c r="R64" t="str">
        <f>TEXT(Scaleflow[[#This Row],[TransactionDate]],"MMM")</f>
        <v>Jul</v>
      </c>
    </row>
    <row r="65" spans="1:18" x14ac:dyDescent="0.3">
      <c r="A65" t="s">
        <v>99</v>
      </c>
      <c r="B65" s="1">
        <v>45226</v>
      </c>
      <c r="C65" s="1">
        <v>45750</v>
      </c>
      <c r="D65" t="s">
        <v>20</v>
      </c>
      <c r="E65" t="s">
        <v>13</v>
      </c>
      <c r="F65" t="s">
        <v>12</v>
      </c>
      <c r="G65" s="2">
        <v>202764</v>
      </c>
      <c r="H65" t="s">
        <v>26</v>
      </c>
      <c r="I65" t="s">
        <v>36</v>
      </c>
      <c r="J65">
        <v>4</v>
      </c>
      <c r="K65" t="s">
        <v>18</v>
      </c>
      <c r="L65" t="s">
        <v>17</v>
      </c>
      <c r="M65">
        <f>YEAR(Scaleflow[[#This Row],[Signup_Date]])</f>
        <v>2023</v>
      </c>
      <c r="N65" t="str">
        <f>TEXT(Scaleflow[[#This Row],[Signup_Date]],"MMM")</f>
        <v>Oct</v>
      </c>
      <c r="O65" t="str">
        <f>IF(Scaleflow[[#This Row],[Monthly_Revenue]]=0,"Free","Paid")</f>
        <v>Paid</v>
      </c>
      <c r="P65">
        <f>YEAR(Scaleflow[[#This Row],[TransactionDate]])</f>
        <v>2025</v>
      </c>
      <c r="Q65">
        <f>MONTH(Scaleflow[[#This Row],[TransactionDate]])</f>
        <v>4</v>
      </c>
      <c r="R65" t="str">
        <f>TEXT(Scaleflow[[#This Row],[TransactionDate]],"MMM")</f>
        <v>Apr</v>
      </c>
    </row>
    <row r="66" spans="1:18" x14ac:dyDescent="0.3">
      <c r="A66" t="s">
        <v>100</v>
      </c>
      <c r="B66" s="1">
        <v>45663</v>
      </c>
      <c r="C66" s="1">
        <v>45891</v>
      </c>
      <c r="D66" t="s">
        <v>20</v>
      </c>
      <c r="E66" t="s">
        <v>39</v>
      </c>
      <c r="F66" t="s">
        <v>29</v>
      </c>
      <c r="G66" s="2">
        <v>10311</v>
      </c>
      <c r="H66" t="s">
        <v>26</v>
      </c>
      <c r="I66" t="s">
        <v>36</v>
      </c>
      <c r="J66">
        <v>2</v>
      </c>
      <c r="K66" t="s">
        <v>17</v>
      </c>
      <c r="L66" t="s">
        <v>18</v>
      </c>
      <c r="M66">
        <f>YEAR(Scaleflow[[#This Row],[Signup_Date]])</f>
        <v>2025</v>
      </c>
      <c r="N66" t="str">
        <f>TEXT(Scaleflow[[#This Row],[Signup_Date]],"MMM")</f>
        <v>Jan</v>
      </c>
      <c r="O66" t="str">
        <f>IF(Scaleflow[[#This Row],[Monthly_Revenue]]=0,"Free","Paid")</f>
        <v>Paid</v>
      </c>
      <c r="P66">
        <f>YEAR(Scaleflow[[#This Row],[TransactionDate]])</f>
        <v>2025</v>
      </c>
      <c r="Q66">
        <f>MONTH(Scaleflow[[#This Row],[TransactionDate]])</f>
        <v>8</v>
      </c>
      <c r="R66" t="str">
        <f>TEXT(Scaleflow[[#This Row],[TransactionDate]],"MMM")</f>
        <v>Aug</v>
      </c>
    </row>
    <row r="67" spans="1:18" x14ac:dyDescent="0.3">
      <c r="A67" t="s">
        <v>101</v>
      </c>
      <c r="B67" s="1">
        <v>45333</v>
      </c>
      <c r="C67" s="1">
        <v>45341</v>
      </c>
      <c r="D67" t="s">
        <v>24</v>
      </c>
      <c r="E67" t="s">
        <v>25</v>
      </c>
      <c r="F67" t="s">
        <v>14</v>
      </c>
      <c r="G67" s="2">
        <v>0</v>
      </c>
      <c r="H67" t="s">
        <v>30</v>
      </c>
      <c r="I67" t="s">
        <v>31</v>
      </c>
      <c r="J67">
        <v>3</v>
      </c>
      <c r="K67" t="s">
        <v>18</v>
      </c>
      <c r="L67" t="s">
        <v>17</v>
      </c>
      <c r="M67">
        <f>YEAR(Scaleflow[[#This Row],[Signup_Date]])</f>
        <v>2024</v>
      </c>
      <c r="N67" t="str">
        <f>TEXT(Scaleflow[[#This Row],[Signup_Date]],"MMM")</f>
        <v>Feb</v>
      </c>
      <c r="O67" t="str">
        <f>IF(Scaleflow[[#This Row],[Monthly_Revenue]]=0,"Free","Paid")</f>
        <v>Free</v>
      </c>
      <c r="P67">
        <f>YEAR(Scaleflow[[#This Row],[TransactionDate]])</f>
        <v>2024</v>
      </c>
      <c r="Q67">
        <f>MONTH(Scaleflow[[#This Row],[TransactionDate]])</f>
        <v>2</v>
      </c>
      <c r="R67" t="str">
        <f>TEXT(Scaleflow[[#This Row],[TransactionDate]],"MMM")</f>
        <v>Feb</v>
      </c>
    </row>
    <row r="68" spans="1:18" x14ac:dyDescent="0.3">
      <c r="A68" t="s">
        <v>102</v>
      </c>
      <c r="B68" s="1">
        <v>45750</v>
      </c>
      <c r="C68" s="1">
        <v>45771</v>
      </c>
      <c r="D68" t="s">
        <v>20</v>
      </c>
      <c r="E68" t="s">
        <v>21</v>
      </c>
      <c r="F68" t="s">
        <v>29</v>
      </c>
      <c r="G68" s="2">
        <v>13070</v>
      </c>
      <c r="H68" t="s">
        <v>34</v>
      </c>
      <c r="I68" t="s">
        <v>36</v>
      </c>
      <c r="J68">
        <v>5</v>
      </c>
      <c r="K68" t="s">
        <v>18</v>
      </c>
      <c r="L68" t="s">
        <v>17</v>
      </c>
      <c r="M68">
        <f>YEAR(Scaleflow[[#This Row],[Signup_Date]])</f>
        <v>2025</v>
      </c>
      <c r="N68" t="str">
        <f>TEXT(Scaleflow[[#This Row],[Signup_Date]],"MMM")</f>
        <v>Apr</v>
      </c>
      <c r="O68" t="str">
        <f>IF(Scaleflow[[#This Row],[Monthly_Revenue]]=0,"Free","Paid")</f>
        <v>Paid</v>
      </c>
      <c r="P68">
        <f>YEAR(Scaleflow[[#This Row],[TransactionDate]])</f>
        <v>2025</v>
      </c>
      <c r="Q68">
        <f>MONTH(Scaleflow[[#This Row],[TransactionDate]])</f>
        <v>4</v>
      </c>
      <c r="R68" t="str">
        <f>TEXT(Scaleflow[[#This Row],[TransactionDate]],"MMM")</f>
        <v>Apr</v>
      </c>
    </row>
    <row r="69" spans="1:18" x14ac:dyDescent="0.3">
      <c r="A69" t="s">
        <v>103</v>
      </c>
      <c r="B69" s="1">
        <v>45529</v>
      </c>
      <c r="C69" s="1">
        <v>45847</v>
      </c>
      <c r="D69" t="s">
        <v>24</v>
      </c>
      <c r="E69" t="s">
        <v>21</v>
      </c>
      <c r="F69" t="s">
        <v>12</v>
      </c>
      <c r="G69" s="2">
        <v>194900</v>
      </c>
      <c r="H69" t="s">
        <v>15</v>
      </c>
      <c r="I69" t="s">
        <v>31</v>
      </c>
      <c r="J69">
        <v>2</v>
      </c>
      <c r="K69" t="s">
        <v>18</v>
      </c>
      <c r="L69" t="s">
        <v>17</v>
      </c>
      <c r="M69">
        <f>YEAR(Scaleflow[[#This Row],[Signup_Date]])</f>
        <v>2024</v>
      </c>
      <c r="N69" t="str">
        <f>TEXT(Scaleflow[[#This Row],[Signup_Date]],"MMM")</f>
        <v>Aug</v>
      </c>
      <c r="O69" t="str">
        <f>IF(Scaleflow[[#This Row],[Monthly_Revenue]]=0,"Free","Paid")</f>
        <v>Paid</v>
      </c>
      <c r="P69">
        <f>YEAR(Scaleflow[[#This Row],[TransactionDate]])</f>
        <v>2025</v>
      </c>
      <c r="Q69">
        <f>MONTH(Scaleflow[[#This Row],[TransactionDate]])</f>
        <v>7</v>
      </c>
      <c r="R69" t="str">
        <f>TEXT(Scaleflow[[#This Row],[TransactionDate]],"MMM")</f>
        <v>Jul</v>
      </c>
    </row>
    <row r="70" spans="1:18" x14ac:dyDescent="0.3">
      <c r="A70" t="s">
        <v>104</v>
      </c>
      <c r="B70" s="1">
        <v>45866</v>
      </c>
      <c r="C70" s="1">
        <v>45978</v>
      </c>
      <c r="D70" t="s">
        <v>12</v>
      </c>
      <c r="E70" t="s">
        <v>41</v>
      </c>
      <c r="F70" t="s">
        <v>29</v>
      </c>
      <c r="G70" s="2">
        <v>12949</v>
      </c>
      <c r="H70" t="s">
        <v>49</v>
      </c>
      <c r="I70" t="s">
        <v>16</v>
      </c>
      <c r="J70">
        <v>3</v>
      </c>
      <c r="K70" t="s">
        <v>18</v>
      </c>
      <c r="L70" t="s">
        <v>17</v>
      </c>
      <c r="M70">
        <f>YEAR(Scaleflow[[#This Row],[Signup_Date]])</f>
        <v>2025</v>
      </c>
      <c r="N70" t="str">
        <f>TEXT(Scaleflow[[#This Row],[Signup_Date]],"MMM")</f>
        <v>Jul</v>
      </c>
      <c r="O70" t="str">
        <f>IF(Scaleflow[[#This Row],[Monthly_Revenue]]=0,"Free","Paid")</f>
        <v>Paid</v>
      </c>
      <c r="P70">
        <f>YEAR(Scaleflow[[#This Row],[TransactionDate]])</f>
        <v>2025</v>
      </c>
      <c r="Q70">
        <f>MONTH(Scaleflow[[#This Row],[TransactionDate]])</f>
        <v>11</v>
      </c>
      <c r="R70" t="str">
        <f>TEXT(Scaleflow[[#This Row],[TransactionDate]],"MMM")</f>
        <v>Nov</v>
      </c>
    </row>
    <row r="71" spans="1:18" x14ac:dyDescent="0.3">
      <c r="A71" t="s">
        <v>105</v>
      </c>
      <c r="B71" s="1">
        <v>45640</v>
      </c>
      <c r="C71" s="1">
        <v>45813</v>
      </c>
      <c r="D71" t="s">
        <v>12</v>
      </c>
      <c r="E71" t="s">
        <v>41</v>
      </c>
      <c r="F71" t="s">
        <v>12</v>
      </c>
      <c r="G71" s="2">
        <v>148346</v>
      </c>
      <c r="H71" t="s">
        <v>49</v>
      </c>
      <c r="I71" t="s">
        <v>31</v>
      </c>
      <c r="J71">
        <v>5</v>
      </c>
      <c r="K71" t="s">
        <v>17</v>
      </c>
      <c r="L71" t="s">
        <v>18</v>
      </c>
      <c r="M71">
        <f>YEAR(Scaleflow[[#This Row],[Signup_Date]])</f>
        <v>2024</v>
      </c>
      <c r="N71" t="str">
        <f>TEXT(Scaleflow[[#This Row],[Signup_Date]],"MMM")</f>
        <v>Dec</v>
      </c>
      <c r="O71" t="str">
        <f>IF(Scaleflow[[#This Row],[Monthly_Revenue]]=0,"Free","Paid")</f>
        <v>Paid</v>
      </c>
      <c r="P71">
        <f>YEAR(Scaleflow[[#This Row],[TransactionDate]])</f>
        <v>2025</v>
      </c>
      <c r="Q71">
        <f>MONTH(Scaleflow[[#This Row],[TransactionDate]])</f>
        <v>6</v>
      </c>
      <c r="R71" t="str">
        <f>TEXT(Scaleflow[[#This Row],[TransactionDate]],"MMM")</f>
        <v>Jun</v>
      </c>
    </row>
    <row r="72" spans="1:18" x14ac:dyDescent="0.3">
      <c r="A72" t="s">
        <v>106</v>
      </c>
      <c r="B72" s="1">
        <v>45163</v>
      </c>
      <c r="C72" s="1">
        <v>45733</v>
      </c>
      <c r="D72" t="s">
        <v>12</v>
      </c>
      <c r="E72" t="s">
        <v>41</v>
      </c>
      <c r="F72" t="s">
        <v>29</v>
      </c>
      <c r="G72" s="2">
        <v>17673</v>
      </c>
      <c r="H72" t="s">
        <v>34</v>
      </c>
      <c r="I72" t="s">
        <v>16</v>
      </c>
      <c r="J72">
        <v>4</v>
      </c>
      <c r="K72" t="s">
        <v>18</v>
      </c>
      <c r="L72" t="s">
        <v>17</v>
      </c>
      <c r="M72">
        <f>YEAR(Scaleflow[[#This Row],[Signup_Date]])</f>
        <v>2023</v>
      </c>
      <c r="N72" t="str">
        <f>TEXT(Scaleflow[[#This Row],[Signup_Date]],"MMM")</f>
        <v>Aug</v>
      </c>
      <c r="O72" t="str">
        <f>IF(Scaleflow[[#This Row],[Monthly_Revenue]]=0,"Free","Paid")</f>
        <v>Paid</v>
      </c>
      <c r="P72">
        <f>YEAR(Scaleflow[[#This Row],[TransactionDate]])</f>
        <v>2025</v>
      </c>
      <c r="Q72">
        <f>MONTH(Scaleflow[[#This Row],[TransactionDate]])</f>
        <v>3</v>
      </c>
      <c r="R72" t="str">
        <f>TEXT(Scaleflow[[#This Row],[TransactionDate]],"MMM")</f>
        <v>Mar</v>
      </c>
    </row>
    <row r="73" spans="1:18" x14ac:dyDescent="0.3">
      <c r="A73" t="s">
        <v>107</v>
      </c>
      <c r="B73" s="1">
        <v>45198</v>
      </c>
      <c r="C73" s="1">
        <v>45836</v>
      </c>
      <c r="D73" t="s">
        <v>12</v>
      </c>
      <c r="E73" t="s">
        <v>33</v>
      </c>
      <c r="F73" t="s">
        <v>46</v>
      </c>
      <c r="G73" s="2">
        <v>43092</v>
      </c>
      <c r="H73" t="s">
        <v>30</v>
      </c>
      <c r="I73" t="s">
        <v>27</v>
      </c>
      <c r="J73">
        <v>2</v>
      </c>
      <c r="K73" t="s">
        <v>18</v>
      </c>
      <c r="L73" t="s">
        <v>17</v>
      </c>
      <c r="M73">
        <f>YEAR(Scaleflow[[#This Row],[Signup_Date]])</f>
        <v>2023</v>
      </c>
      <c r="N73" t="str">
        <f>TEXT(Scaleflow[[#This Row],[Signup_Date]],"MMM")</f>
        <v>Sep</v>
      </c>
      <c r="O73" t="str">
        <f>IF(Scaleflow[[#This Row],[Monthly_Revenue]]=0,"Free","Paid")</f>
        <v>Paid</v>
      </c>
      <c r="P73">
        <f>YEAR(Scaleflow[[#This Row],[TransactionDate]])</f>
        <v>2025</v>
      </c>
      <c r="Q73">
        <f>MONTH(Scaleflow[[#This Row],[TransactionDate]])</f>
        <v>6</v>
      </c>
      <c r="R73" t="str">
        <f>TEXT(Scaleflow[[#This Row],[TransactionDate]],"MMM")</f>
        <v>Jun</v>
      </c>
    </row>
    <row r="74" spans="1:18" x14ac:dyDescent="0.3">
      <c r="A74" t="s">
        <v>108</v>
      </c>
      <c r="B74" s="1">
        <v>45902</v>
      </c>
      <c r="C74" s="1">
        <v>45962</v>
      </c>
      <c r="D74" t="s">
        <v>24</v>
      </c>
      <c r="E74" t="s">
        <v>41</v>
      </c>
      <c r="F74" t="s">
        <v>12</v>
      </c>
      <c r="G74" s="2">
        <v>245358</v>
      </c>
      <c r="H74" t="s">
        <v>22</v>
      </c>
      <c r="I74" t="s">
        <v>31</v>
      </c>
      <c r="J74">
        <v>1</v>
      </c>
      <c r="K74" t="s">
        <v>18</v>
      </c>
      <c r="L74" t="s">
        <v>17</v>
      </c>
      <c r="M74">
        <f>YEAR(Scaleflow[[#This Row],[Signup_Date]])</f>
        <v>2025</v>
      </c>
      <c r="N74" t="str">
        <f>TEXT(Scaleflow[[#This Row],[Signup_Date]],"MMM")</f>
        <v>Sep</v>
      </c>
      <c r="O74" t="str">
        <f>IF(Scaleflow[[#This Row],[Monthly_Revenue]]=0,"Free","Paid")</f>
        <v>Paid</v>
      </c>
      <c r="P74">
        <f>YEAR(Scaleflow[[#This Row],[TransactionDate]])</f>
        <v>2025</v>
      </c>
      <c r="Q74">
        <f>MONTH(Scaleflow[[#This Row],[TransactionDate]])</f>
        <v>11</v>
      </c>
      <c r="R74" t="str">
        <f>TEXT(Scaleflow[[#This Row],[TransactionDate]],"MMM")</f>
        <v>Nov</v>
      </c>
    </row>
    <row r="75" spans="1:18" x14ac:dyDescent="0.3">
      <c r="A75" t="s">
        <v>109</v>
      </c>
      <c r="B75" s="1">
        <v>45592</v>
      </c>
      <c r="C75" s="1">
        <v>45922</v>
      </c>
      <c r="D75" t="s">
        <v>12</v>
      </c>
      <c r="E75" t="s">
        <v>41</v>
      </c>
      <c r="F75" t="s">
        <v>46</v>
      </c>
      <c r="G75" s="2">
        <v>58655</v>
      </c>
      <c r="H75" t="s">
        <v>26</v>
      </c>
      <c r="I75" t="s">
        <v>27</v>
      </c>
      <c r="J75">
        <v>3</v>
      </c>
      <c r="K75" t="s">
        <v>17</v>
      </c>
      <c r="L75" t="s">
        <v>18</v>
      </c>
      <c r="M75">
        <f>YEAR(Scaleflow[[#This Row],[Signup_Date]])</f>
        <v>2024</v>
      </c>
      <c r="N75" t="str">
        <f>TEXT(Scaleflow[[#This Row],[Signup_Date]],"MMM")</f>
        <v>Oct</v>
      </c>
      <c r="O75" t="str">
        <f>IF(Scaleflow[[#This Row],[Monthly_Revenue]]=0,"Free","Paid")</f>
        <v>Paid</v>
      </c>
      <c r="P75">
        <f>YEAR(Scaleflow[[#This Row],[TransactionDate]])</f>
        <v>2025</v>
      </c>
      <c r="Q75">
        <f>MONTH(Scaleflow[[#This Row],[TransactionDate]])</f>
        <v>9</v>
      </c>
      <c r="R75" t="str">
        <f>TEXT(Scaleflow[[#This Row],[TransactionDate]],"MMM")</f>
        <v>Sep</v>
      </c>
    </row>
    <row r="76" spans="1:18" x14ac:dyDescent="0.3">
      <c r="A76" t="s">
        <v>110</v>
      </c>
      <c r="B76" s="1">
        <v>44984</v>
      </c>
      <c r="C76" s="1">
        <v>45948</v>
      </c>
      <c r="D76" t="s">
        <v>24</v>
      </c>
      <c r="E76" t="s">
        <v>41</v>
      </c>
      <c r="F76" t="s">
        <v>29</v>
      </c>
      <c r="G76" s="2">
        <v>12971</v>
      </c>
      <c r="H76" t="s">
        <v>15</v>
      </c>
      <c r="I76" t="s">
        <v>36</v>
      </c>
      <c r="J76">
        <v>2</v>
      </c>
      <c r="K76" t="s">
        <v>18</v>
      </c>
      <c r="L76" t="s">
        <v>17</v>
      </c>
      <c r="M76">
        <f>YEAR(Scaleflow[[#This Row],[Signup_Date]])</f>
        <v>2023</v>
      </c>
      <c r="N76" t="str">
        <f>TEXT(Scaleflow[[#This Row],[Signup_Date]],"MMM")</f>
        <v>Feb</v>
      </c>
      <c r="O76" t="str">
        <f>IF(Scaleflow[[#This Row],[Monthly_Revenue]]=0,"Free","Paid")</f>
        <v>Paid</v>
      </c>
      <c r="P76">
        <f>YEAR(Scaleflow[[#This Row],[TransactionDate]])</f>
        <v>2025</v>
      </c>
      <c r="Q76">
        <f>MONTH(Scaleflow[[#This Row],[TransactionDate]])</f>
        <v>10</v>
      </c>
      <c r="R76" t="str">
        <f>TEXT(Scaleflow[[#This Row],[TransactionDate]],"MMM")</f>
        <v>Oct</v>
      </c>
    </row>
    <row r="77" spans="1:18" x14ac:dyDescent="0.3">
      <c r="A77" t="s">
        <v>111</v>
      </c>
      <c r="B77" s="1">
        <v>45207</v>
      </c>
      <c r="C77" s="1">
        <v>45598</v>
      </c>
      <c r="D77" t="s">
        <v>20</v>
      </c>
      <c r="E77" t="s">
        <v>33</v>
      </c>
      <c r="F77" t="s">
        <v>14</v>
      </c>
      <c r="G77" s="2">
        <v>0</v>
      </c>
      <c r="H77" t="s">
        <v>30</v>
      </c>
      <c r="I77" t="s">
        <v>27</v>
      </c>
      <c r="J77">
        <v>1</v>
      </c>
      <c r="K77" t="s">
        <v>18</v>
      </c>
      <c r="L77" t="s">
        <v>17</v>
      </c>
      <c r="M77">
        <f>YEAR(Scaleflow[[#This Row],[Signup_Date]])</f>
        <v>2023</v>
      </c>
      <c r="N77" t="str">
        <f>TEXT(Scaleflow[[#This Row],[Signup_Date]],"MMM")</f>
        <v>Oct</v>
      </c>
      <c r="O77" t="str">
        <f>IF(Scaleflow[[#This Row],[Monthly_Revenue]]=0,"Free","Paid")</f>
        <v>Free</v>
      </c>
      <c r="P77">
        <f>YEAR(Scaleflow[[#This Row],[TransactionDate]])</f>
        <v>2024</v>
      </c>
      <c r="Q77">
        <f>MONTH(Scaleflow[[#This Row],[TransactionDate]])</f>
        <v>11</v>
      </c>
      <c r="R77" t="str">
        <f>TEXT(Scaleflow[[#This Row],[TransactionDate]],"MMM")</f>
        <v>Nov</v>
      </c>
    </row>
    <row r="78" spans="1:18" x14ac:dyDescent="0.3">
      <c r="A78" t="s">
        <v>112</v>
      </c>
      <c r="B78" s="1">
        <v>45243</v>
      </c>
      <c r="C78" s="1">
        <v>45374</v>
      </c>
      <c r="D78" t="s">
        <v>12</v>
      </c>
      <c r="E78" t="s">
        <v>21</v>
      </c>
      <c r="F78" t="s">
        <v>14</v>
      </c>
      <c r="G78" s="2">
        <v>0</v>
      </c>
      <c r="H78" t="s">
        <v>49</v>
      </c>
      <c r="I78" t="s">
        <v>42</v>
      </c>
      <c r="J78">
        <v>0</v>
      </c>
      <c r="K78" t="s">
        <v>18</v>
      </c>
      <c r="L78" t="s">
        <v>17</v>
      </c>
      <c r="M78">
        <f>YEAR(Scaleflow[[#This Row],[Signup_Date]])</f>
        <v>2023</v>
      </c>
      <c r="N78" t="str">
        <f>TEXT(Scaleflow[[#This Row],[Signup_Date]],"MMM")</f>
        <v>Nov</v>
      </c>
      <c r="O78" t="str">
        <f>IF(Scaleflow[[#This Row],[Monthly_Revenue]]=0,"Free","Paid")</f>
        <v>Free</v>
      </c>
      <c r="P78">
        <f>YEAR(Scaleflow[[#This Row],[TransactionDate]])</f>
        <v>2024</v>
      </c>
      <c r="Q78">
        <f>MONTH(Scaleflow[[#This Row],[TransactionDate]])</f>
        <v>3</v>
      </c>
      <c r="R78" t="str">
        <f>TEXT(Scaleflow[[#This Row],[TransactionDate]],"MMM")</f>
        <v>Mar</v>
      </c>
    </row>
    <row r="79" spans="1:18" x14ac:dyDescent="0.3">
      <c r="A79" t="s">
        <v>113</v>
      </c>
      <c r="B79" s="1">
        <v>45328</v>
      </c>
      <c r="C79" s="1">
        <v>45674</v>
      </c>
      <c r="D79" t="s">
        <v>20</v>
      </c>
      <c r="E79" t="s">
        <v>41</v>
      </c>
      <c r="F79" t="s">
        <v>14</v>
      </c>
      <c r="G79" s="2">
        <v>0</v>
      </c>
      <c r="H79" t="s">
        <v>49</v>
      </c>
      <c r="I79" t="s">
        <v>27</v>
      </c>
      <c r="J79">
        <v>4</v>
      </c>
      <c r="K79" t="s">
        <v>18</v>
      </c>
      <c r="L79" t="s">
        <v>17</v>
      </c>
      <c r="M79">
        <f>YEAR(Scaleflow[[#This Row],[Signup_Date]])</f>
        <v>2024</v>
      </c>
      <c r="N79" t="str">
        <f>TEXT(Scaleflow[[#This Row],[Signup_Date]],"MMM")</f>
        <v>Feb</v>
      </c>
      <c r="O79" t="str">
        <f>IF(Scaleflow[[#This Row],[Monthly_Revenue]]=0,"Free","Paid")</f>
        <v>Free</v>
      </c>
      <c r="P79">
        <f>YEAR(Scaleflow[[#This Row],[TransactionDate]])</f>
        <v>2025</v>
      </c>
      <c r="Q79">
        <f>MONTH(Scaleflow[[#This Row],[TransactionDate]])</f>
        <v>1</v>
      </c>
      <c r="R79" t="str">
        <f>TEXT(Scaleflow[[#This Row],[TransactionDate]],"MMM")</f>
        <v>Jan</v>
      </c>
    </row>
    <row r="80" spans="1:18" x14ac:dyDescent="0.3">
      <c r="A80" t="s">
        <v>114</v>
      </c>
      <c r="B80" s="1">
        <v>45039</v>
      </c>
      <c r="C80" s="1">
        <v>45125</v>
      </c>
      <c r="D80" t="s">
        <v>12</v>
      </c>
      <c r="E80" t="s">
        <v>25</v>
      </c>
      <c r="F80" t="s">
        <v>46</v>
      </c>
      <c r="G80" s="2">
        <v>52013</v>
      </c>
      <c r="H80" t="s">
        <v>49</v>
      </c>
      <c r="I80" t="s">
        <v>36</v>
      </c>
      <c r="J80">
        <v>1</v>
      </c>
      <c r="K80" t="s">
        <v>18</v>
      </c>
      <c r="L80" t="s">
        <v>17</v>
      </c>
      <c r="M80">
        <f>YEAR(Scaleflow[[#This Row],[Signup_Date]])</f>
        <v>2023</v>
      </c>
      <c r="N80" t="str">
        <f>TEXT(Scaleflow[[#This Row],[Signup_Date]],"MMM")</f>
        <v>Apr</v>
      </c>
      <c r="O80" t="str">
        <f>IF(Scaleflow[[#This Row],[Monthly_Revenue]]=0,"Free","Paid")</f>
        <v>Paid</v>
      </c>
      <c r="P80">
        <f>YEAR(Scaleflow[[#This Row],[TransactionDate]])</f>
        <v>2023</v>
      </c>
      <c r="Q80">
        <f>MONTH(Scaleflow[[#This Row],[TransactionDate]])</f>
        <v>7</v>
      </c>
      <c r="R80" t="str">
        <f>TEXT(Scaleflow[[#This Row],[TransactionDate]],"MMM")</f>
        <v>Jul</v>
      </c>
    </row>
    <row r="81" spans="1:18" x14ac:dyDescent="0.3">
      <c r="A81" t="s">
        <v>115</v>
      </c>
      <c r="B81" s="1">
        <v>45434</v>
      </c>
      <c r="C81" s="1">
        <v>45664</v>
      </c>
      <c r="D81" t="s">
        <v>12</v>
      </c>
      <c r="E81" t="s">
        <v>39</v>
      </c>
      <c r="F81" t="s">
        <v>12</v>
      </c>
      <c r="G81" s="2">
        <v>187143</v>
      </c>
      <c r="H81" t="s">
        <v>26</v>
      </c>
      <c r="I81" t="s">
        <v>27</v>
      </c>
      <c r="J81">
        <v>5</v>
      </c>
      <c r="K81" t="s">
        <v>18</v>
      </c>
      <c r="L81" t="s">
        <v>17</v>
      </c>
      <c r="M81">
        <f>YEAR(Scaleflow[[#This Row],[Signup_Date]])</f>
        <v>2024</v>
      </c>
      <c r="N81" t="str">
        <f>TEXT(Scaleflow[[#This Row],[Signup_Date]],"MMM")</f>
        <v>May</v>
      </c>
      <c r="O81" t="str">
        <f>IF(Scaleflow[[#This Row],[Monthly_Revenue]]=0,"Free","Paid")</f>
        <v>Paid</v>
      </c>
      <c r="P81">
        <f>YEAR(Scaleflow[[#This Row],[TransactionDate]])</f>
        <v>2025</v>
      </c>
      <c r="Q81">
        <f>MONTH(Scaleflow[[#This Row],[TransactionDate]])</f>
        <v>1</v>
      </c>
      <c r="R81" t="str">
        <f>TEXT(Scaleflow[[#This Row],[TransactionDate]],"MMM")</f>
        <v>Jan</v>
      </c>
    </row>
    <row r="82" spans="1:18" x14ac:dyDescent="0.3">
      <c r="A82" t="s">
        <v>116</v>
      </c>
      <c r="B82" s="1">
        <v>45515</v>
      </c>
      <c r="C82" s="1">
        <v>45606</v>
      </c>
      <c r="D82" t="s">
        <v>12</v>
      </c>
      <c r="E82" t="s">
        <v>33</v>
      </c>
      <c r="F82" t="s">
        <v>12</v>
      </c>
      <c r="G82" s="2">
        <v>162583</v>
      </c>
      <c r="H82" t="s">
        <v>49</v>
      </c>
      <c r="I82" t="s">
        <v>27</v>
      </c>
      <c r="J82">
        <v>1</v>
      </c>
      <c r="K82" t="s">
        <v>18</v>
      </c>
      <c r="L82" t="s">
        <v>17</v>
      </c>
      <c r="M82">
        <f>YEAR(Scaleflow[[#This Row],[Signup_Date]])</f>
        <v>2024</v>
      </c>
      <c r="N82" t="str">
        <f>TEXT(Scaleflow[[#This Row],[Signup_Date]],"MMM")</f>
        <v>Aug</v>
      </c>
      <c r="O82" t="str">
        <f>IF(Scaleflow[[#This Row],[Monthly_Revenue]]=0,"Free","Paid")</f>
        <v>Paid</v>
      </c>
      <c r="P82">
        <f>YEAR(Scaleflow[[#This Row],[TransactionDate]])</f>
        <v>2024</v>
      </c>
      <c r="Q82">
        <f>MONTH(Scaleflow[[#This Row],[TransactionDate]])</f>
        <v>11</v>
      </c>
      <c r="R82" t="str">
        <f>TEXT(Scaleflow[[#This Row],[TransactionDate]],"MMM")</f>
        <v>Nov</v>
      </c>
    </row>
    <row r="83" spans="1:18" x14ac:dyDescent="0.3">
      <c r="A83" t="s">
        <v>117</v>
      </c>
      <c r="B83" s="1">
        <v>45128</v>
      </c>
      <c r="C83" s="1">
        <v>45345</v>
      </c>
      <c r="D83" t="s">
        <v>12</v>
      </c>
      <c r="E83" t="s">
        <v>39</v>
      </c>
      <c r="F83" t="s">
        <v>14</v>
      </c>
      <c r="G83" s="2">
        <v>0</v>
      </c>
      <c r="H83" t="s">
        <v>22</v>
      </c>
      <c r="I83" t="s">
        <v>36</v>
      </c>
      <c r="J83">
        <v>0</v>
      </c>
      <c r="K83" t="s">
        <v>18</v>
      </c>
      <c r="L83" t="s">
        <v>17</v>
      </c>
      <c r="M83">
        <f>YEAR(Scaleflow[[#This Row],[Signup_Date]])</f>
        <v>2023</v>
      </c>
      <c r="N83" t="str">
        <f>TEXT(Scaleflow[[#This Row],[Signup_Date]],"MMM")</f>
        <v>Jul</v>
      </c>
      <c r="O83" t="str">
        <f>IF(Scaleflow[[#This Row],[Monthly_Revenue]]=0,"Free","Paid")</f>
        <v>Free</v>
      </c>
      <c r="P83">
        <f>YEAR(Scaleflow[[#This Row],[TransactionDate]])</f>
        <v>2024</v>
      </c>
      <c r="Q83">
        <f>MONTH(Scaleflow[[#This Row],[TransactionDate]])</f>
        <v>2</v>
      </c>
      <c r="R83" t="str">
        <f>TEXT(Scaleflow[[#This Row],[TransactionDate]],"MMM")</f>
        <v>Feb</v>
      </c>
    </row>
    <row r="84" spans="1:18" x14ac:dyDescent="0.3">
      <c r="A84" t="s">
        <v>118</v>
      </c>
      <c r="B84" s="1">
        <v>45065</v>
      </c>
      <c r="C84" s="1">
        <v>45543</v>
      </c>
      <c r="D84" t="s">
        <v>24</v>
      </c>
      <c r="E84" t="s">
        <v>13</v>
      </c>
      <c r="F84" t="s">
        <v>46</v>
      </c>
      <c r="G84" s="2">
        <v>43073</v>
      </c>
      <c r="H84" t="s">
        <v>26</v>
      </c>
      <c r="I84" t="s">
        <v>31</v>
      </c>
      <c r="J84">
        <v>4</v>
      </c>
      <c r="K84" t="s">
        <v>18</v>
      </c>
      <c r="L84" t="s">
        <v>17</v>
      </c>
      <c r="M84">
        <f>YEAR(Scaleflow[[#This Row],[Signup_Date]])</f>
        <v>2023</v>
      </c>
      <c r="N84" t="str">
        <f>TEXT(Scaleflow[[#This Row],[Signup_Date]],"MMM")</f>
        <v>May</v>
      </c>
      <c r="O84" t="str">
        <f>IF(Scaleflow[[#This Row],[Monthly_Revenue]]=0,"Free","Paid")</f>
        <v>Paid</v>
      </c>
      <c r="P84">
        <f>YEAR(Scaleflow[[#This Row],[TransactionDate]])</f>
        <v>2024</v>
      </c>
      <c r="Q84">
        <f>MONTH(Scaleflow[[#This Row],[TransactionDate]])</f>
        <v>9</v>
      </c>
      <c r="R84" t="str">
        <f>TEXT(Scaleflow[[#This Row],[TransactionDate]],"MMM")</f>
        <v>Sep</v>
      </c>
    </row>
    <row r="85" spans="1:18" x14ac:dyDescent="0.3">
      <c r="A85" t="s">
        <v>119</v>
      </c>
      <c r="B85" s="1">
        <v>45651</v>
      </c>
      <c r="C85" s="1">
        <v>45830</v>
      </c>
      <c r="D85" t="s">
        <v>24</v>
      </c>
      <c r="E85" t="s">
        <v>13</v>
      </c>
      <c r="F85" t="s">
        <v>46</v>
      </c>
      <c r="G85" s="2">
        <v>52667</v>
      </c>
      <c r="H85" t="s">
        <v>34</v>
      </c>
      <c r="I85" t="s">
        <v>16</v>
      </c>
      <c r="J85">
        <v>2</v>
      </c>
      <c r="K85" t="s">
        <v>17</v>
      </c>
      <c r="L85" t="s">
        <v>18</v>
      </c>
      <c r="M85">
        <f>YEAR(Scaleflow[[#This Row],[Signup_Date]])</f>
        <v>2024</v>
      </c>
      <c r="N85" t="str">
        <f>TEXT(Scaleflow[[#This Row],[Signup_Date]],"MMM")</f>
        <v>Dec</v>
      </c>
      <c r="O85" t="str">
        <f>IF(Scaleflow[[#This Row],[Monthly_Revenue]]=0,"Free","Paid")</f>
        <v>Paid</v>
      </c>
      <c r="P85">
        <f>YEAR(Scaleflow[[#This Row],[TransactionDate]])</f>
        <v>2025</v>
      </c>
      <c r="Q85">
        <f>MONTH(Scaleflow[[#This Row],[TransactionDate]])</f>
        <v>6</v>
      </c>
      <c r="R85" t="str">
        <f>TEXT(Scaleflow[[#This Row],[TransactionDate]],"MMM")</f>
        <v>Jun</v>
      </c>
    </row>
    <row r="86" spans="1:18" x14ac:dyDescent="0.3">
      <c r="A86" t="s">
        <v>120</v>
      </c>
      <c r="B86" s="1">
        <v>45842</v>
      </c>
      <c r="C86" s="1">
        <v>45881</v>
      </c>
      <c r="D86" t="s">
        <v>24</v>
      </c>
      <c r="E86" t="s">
        <v>39</v>
      </c>
      <c r="F86" t="s">
        <v>29</v>
      </c>
      <c r="G86" s="2">
        <v>9537</v>
      </c>
      <c r="H86" t="s">
        <v>49</v>
      </c>
      <c r="I86" t="s">
        <v>31</v>
      </c>
      <c r="J86">
        <v>5</v>
      </c>
      <c r="K86" t="s">
        <v>18</v>
      </c>
      <c r="L86" t="s">
        <v>17</v>
      </c>
      <c r="M86">
        <f>YEAR(Scaleflow[[#This Row],[Signup_Date]])</f>
        <v>2025</v>
      </c>
      <c r="N86" t="str">
        <f>TEXT(Scaleflow[[#This Row],[Signup_Date]],"MMM")</f>
        <v>Jul</v>
      </c>
      <c r="O86" t="str">
        <f>IF(Scaleflow[[#This Row],[Monthly_Revenue]]=0,"Free","Paid")</f>
        <v>Paid</v>
      </c>
      <c r="P86">
        <f>YEAR(Scaleflow[[#This Row],[TransactionDate]])</f>
        <v>2025</v>
      </c>
      <c r="Q86">
        <f>MONTH(Scaleflow[[#This Row],[TransactionDate]])</f>
        <v>8</v>
      </c>
      <c r="R86" t="str">
        <f>TEXT(Scaleflow[[#This Row],[TransactionDate]],"MMM")</f>
        <v>Aug</v>
      </c>
    </row>
    <row r="87" spans="1:18" x14ac:dyDescent="0.3">
      <c r="A87" t="s">
        <v>121</v>
      </c>
      <c r="B87" s="1">
        <v>45093</v>
      </c>
      <c r="C87" s="1">
        <v>45743</v>
      </c>
      <c r="D87" t="s">
        <v>20</v>
      </c>
      <c r="E87" t="s">
        <v>41</v>
      </c>
      <c r="F87" t="s">
        <v>12</v>
      </c>
      <c r="G87" s="2">
        <v>169147</v>
      </c>
      <c r="H87" t="s">
        <v>15</v>
      </c>
      <c r="I87" t="s">
        <v>36</v>
      </c>
      <c r="J87">
        <v>2</v>
      </c>
      <c r="K87" t="s">
        <v>17</v>
      </c>
      <c r="L87" t="s">
        <v>18</v>
      </c>
      <c r="M87">
        <f>YEAR(Scaleflow[[#This Row],[Signup_Date]])</f>
        <v>2023</v>
      </c>
      <c r="N87" t="str">
        <f>TEXT(Scaleflow[[#This Row],[Signup_Date]],"MMM")</f>
        <v>Jun</v>
      </c>
      <c r="O87" t="str">
        <f>IF(Scaleflow[[#This Row],[Monthly_Revenue]]=0,"Free","Paid")</f>
        <v>Paid</v>
      </c>
      <c r="P87">
        <f>YEAR(Scaleflow[[#This Row],[TransactionDate]])</f>
        <v>2025</v>
      </c>
      <c r="Q87">
        <f>MONTH(Scaleflow[[#This Row],[TransactionDate]])</f>
        <v>3</v>
      </c>
      <c r="R87" t="str">
        <f>TEXT(Scaleflow[[#This Row],[TransactionDate]],"MMM")</f>
        <v>Mar</v>
      </c>
    </row>
    <row r="88" spans="1:18" x14ac:dyDescent="0.3">
      <c r="A88" t="s">
        <v>122</v>
      </c>
      <c r="B88" s="1">
        <v>45749</v>
      </c>
      <c r="C88" s="1">
        <v>45902</v>
      </c>
      <c r="D88" t="s">
        <v>12</v>
      </c>
      <c r="E88" t="s">
        <v>25</v>
      </c>
      <c r="F88" t="s">
        <v>14</v>
      </c>
      <c r="G88" s="2">
        <v>0</v>
      </c>
      <c r="H88" t="s">
        <v>49</v>
      </c>
      <c r="I88" t="s">
        <v>42</v>
      </c>
      <c r="J88">
        <v>1</v>
      </c>
      <c r="K88" t="s">
        <v>18</v>
      </c>
      <c r="L88" t="s">
        <v>17</v>
      </c>
      <c r="M88">
        <f>YEAR(Scaleflow[[#This Row],[Signup_Date]])</f>
        <v>2025</v>
      </c>
      <c r="N88" t="str">
        <f>TEXT(Scaleflow[[#This Row],[Signup_Date]],"MMM")</f>
        <v>Apr</v>
      </c>
      <c r="O88" t="str">
        <f>IF(Scaleflow[[#This Row],[Monthly_Revenue]]=0,"Free","Paid")</f>
        <v>Free</v>
      </c>
      <c r="P88">
        <f>YEAR(Scaleflow[[#This Row],[TransactionDate]])</f>
        <v>2025</v>
      </c>
      <c r="Q88">
        <f>MONTH(Scaleflow[[#This Row],[TransactionDate]])</f>
        <v>9</v>
      </c>
      <c r="R88" t="str">
        <f>TEXT(Scaleflow[[#This Row],[TransactionDate]],"MMM")</f>
        <v>Sep</v>
      </c>
    </row>
    <row r="89" spans="1:18" x14ac:dyDescent="0.3">
      <c r="A89" t="s">
        <v>123</v>
      </c>
      <c r="B89" s="1">
        <v>45372</v>
      </c>
      <c r="C89" s="1">
        <v>45899</v>
      </c>
      <c r="D89" t="s">
        <v>20</v>
      </c>
      <c r="E89" t="s">
        <v>39</v>
      </c>
      <c r="F89" t="s">
        <v>46</v>
      </c>
      <c r="G89" s="2">
        <v>33538</v>
      </c>
      <c r="H89" t="s">
        <v>26</v>
      </c>
      <c r="I89" t="s">
        <v>36</v>
      </c>
      <c r="J89">
        <v>4</v>
      </c>
      <c r="K89" t="s">
        <v>18</v>
      </c>
      <c r="L89" t="s">
        <v>17</v>
      </c>
      <c r="M89">
        <f>YEAR(Scaleflow[[#This Row],[Signup_Date]])</f>
        <v>2024</v>
      </c>
      <c r="N89" t="str">
        <f>TEXT(Scaleflow[[#This Row],[Signup_Date]],"MMM")</f>
        <v>Mar</v>
      </c>
      <c r="O89" t="str">
        <f>IF(Scaleflow[[#This Row],[Monthly_Revenue]]=0,"Free","Paid")</f>
        <v>Paid</v>
      </c>
      <c r="P89">
        <f>YEAR(Scaleflow[[#This Row],[TransactionDate]])</f>
        <v>2025</v>
      </c>
      <c r="Q89">
        <f>MONTH(Scaleflow[[#This Row],[TransactionDate]])</f>
        <v>8</v>
      </c>
      <c r="R89" t="str">
        <f>TEXT(Scaleflow[[#This Row],[TransactionDate]],"MMM")</f>
        <v>Aug</v>
      </c>
    </row>
    <row r="90" spans="1:18" x14ac:dyDescent="0.3">
      <c r="A90" t="s">
        <v>124</v>
      </c>
      <c r="B90" s="1">
        <v>45211</v>
      </c>
      <c r="C90" s="1">
        <v>45980</v>
      </c>
      <c r="D90" t="s">
        <v>12</v>
      </c>
      <c r="E90" t="s">
        <v>39</v>
      </c>
      <c r="F90" t="s">
        <v>46</v>
      </c>
      <c r="G90" s="2">
        <v>37544</v>
      </c>
      <c r="H90" t="s">
        <v>49</v>
      </c>
      <c r="I90" t="s">
        <v>42</v>
      </c>
      <c r="J90">
        <v>1</v>
      </c>
      <c r="K90" t="s">
        <v>18</v>
      </c>
      <c r="L90" t="s">
        <v>17</v>
      </c>
      <c r="M90">
        <f>YEAR(Scaleflow[[#This Row],[Signup_Date]])</f>
        <v>2023</v>
      </c>
      <c r="N90" t="str">
        <f>TEXT(Scaleflow[[#This Row],[Signup_Date]],"MMM")</f>
        <v>Oct</v>
      </c>
      <c r="O90" t="str">
        <f>IF(Scaleflow[[#This Row],[Monthly_Revenue]]=0,"Free","Paid")</f>
        <v>Paid</v>
      </c>
      <c r="P90">
        <f>YEAR(Scaleflow[[#This Row],[TransactionDate]])</f>
        <v>2025</v>
      </c>
      <c r="Q90">
        <f>MONTH(Scaleflow[[#This Row],[TransactionDate]])</f>
        <v>11</v>
      </c>
      <c r="R90" t="str">
        <f>TEXT(Scaleflow[[#This Row],[TransactionDate]],"MMM")</f>
        <v>Nov</v>
      </c>
    </row>
    <row r="91" spans="1:18" x14ac:dyDescent="0.3">
      <c r="A91" t="s">
        <v>125</v>
      </c>
      <c r="B91" s="1">
        <v>45818</v>
      </c>
      <c r="C91" s="1">
        <v>45941</v>
      </c>
      <c r="D91" t="s">
        <v>24</v>
      </c>
      <c r="E91" t="s">
        <v>25</v>
      </c>
      <c r="F91" t="s">
        <v>12</v>
      </c>
      <c r="G91" s="2">
        <v>116406</v>
      </c>
      <c r="H91" t="s">
        <v>34</v>
      </c>
      <c r="I91" t="s">
        <v>31</v>
      </c>
      <c r="J91">
        <v>5</v>
      </c>
      <c r="K91" t="s">
        <v>18</v>
      </c>
      <c r="L91" t="s">
        <v>17</v>
      </c>
      <c r="M91">
        <f>YEAR(Scaleflow[[#This Row],[Signup_Date]])</f>
        <v>2025</v>
      </c>
      <c r="N91" t="str">
        <f>TEXT(Scaleflow[[#This Row],[Signup_Date]],"MMM")</f>
        <v>Jun</v>
      </c>
      <c r="O91" t="str">
        <f>IF(Scaleflow[[#This Row],[Monthly_Revenue]]=0,"Free","Paid")</f>
        <v>Paid</v>
      </c>
      <c r="P91">
        <f>YEAR(Scaleflow[[#This Row],[TransactionDate]])</f>
        <v>2025</v>
      </c>
      <c r="Q91">
        <f>MONTH(Scaleflow[[#This Row],[TransactionDate]])</f>
        <v>10</v>
      </c>
      <c r="R91" t="str">
        <f>TEXT(Scaleflow[[#This Row],[TransactionDate]],"MMM")</f>
        <v>Oct</v>
      </c>
    </row>
    <row r="92" spans="1:18" x14ac:dyDescent="0.3">
      <c r="A92" t="s">
        <v>126</v>
      </c>
      <c r="B92" s="1">
        <v>45592</v>
      </c>
      <c r="C92" s="1">
        <v>45928</v>
      </c>
      <c r="D92" t="s">
        <v>12</v>
      </c>
      <c r="E92" t="s">
        <v>39</v>
      </c>
      <c r="F92" t="s">
        <v>46</v>
      </c>
      <c r="G92" s="2">
        <v>37020</v>
      </c>
      <c r="H92" t="s">
        <v>26</v>
      </c>
      <c r="I92" t="s">
        <v>27</v>
      </c>
      <c r="J92">
        <v>1</v>
      </c>
      <c r="K92" t="s">
        <v>18</v>
      </c>
      <c r="L92" t="s">
        <v>17</v>
      </c>
      <c r="M92">
        <f>YEAR(Scaleflow[[#This Row],[Signup_Date]])</f>
        <v>2024</v>
      </c>
      <c r="N92" t="str">
        <f>TEXT(Scaleflow[[#This Row],[Signup_Date]],"MMM")</f>
        <v>Oct</v>
      </c>
      <c r="O92" t="str">
        <f>IF(Scaleflow[[#This Row],[Monthly_Revenue]]=0,"Free","Paid")</f>
        <v>Paid</v>
      </c>
      <c r="P92">
        <f>YEAR(Scaleflow[[#This Row],[TransactionDate]])</f>
        <v>2025</v>
      </c>
      <c r="Q92">
        <f>MONTH(Scaleflow[[#This Row],[TransactionDate]])</f>
        <v>9</v>
      </c>
      <c r="R92" t="str">
        <f>TEXT(Scaleflow[[#This Row],[TransactionDate]],"MMM")</f>
        <v>Sep</v>
      </c>
    </row>
    <row r="93" spans="1:18" x14ac:dyDescent="0.3">
      <c r="A93" t="s">
        <v>127</v>
      </c>
      <c r="B93" s="1">
        <v>45275</v>
      </c>
      <c r="C93" s="1">
        <v>45569</v>
      </c>
      <c r="D93" t="s">
        <v>24</v>
      </c>
      <c r="E93" t="s">
        <v>21</v>
      </c>
      <c r="F93" t="s">
        <v>12</v>
      </c>
      <c r="G93" s="2">
        <v>202161</v>
      </c>
      <c r="H93" t="s">
        <v>26</v>
      </c>
      <c r="I93" t="s">
        <v>31</v>
      </c>
      <c r="J93">
        <v>3</v>
      </c>
      <c r="K93" t="s">
        <v>18</v>
      </c>
      <c r="L93" t="s">
        <v>17</v>
      </c>
      <c r="M93">
        <f>YEAR(Scaleflow[[#This Row],[Signup_Date]])</f>
        <v>2023</v>
      </c>
      <c r="N93" t="str">
        <f>TEXT(Scaleflow[[#This Row],[Signup_Date]],"MMM")</f>
        <v>Dec</v>
      </c>
      <c r="O93" t="str">
        <f>IF(Scaleflow[[#This Row],[Monthly_Revenue]]=0,"Free","Paid")</f>
        <v>Paid</v>
      </c>
      <c r="P93">
        <f>YEAR(Scaleflow[[#This Row],[TransactionDate]])</f>
        <v>2024</v>
      </c>
      <c r="Q93">
        <f>MONTH(Scaleflow[[#This Row],[TransactionDate]])</f>
        <v>10</v>
      </c>
      <c r="R93" t="str">
        <f>TEXT(Scaleflow[[#This Row],[TransactionDate]],"MMM")</f>
        <v>Oct</v>
      </c>
    </row>
    <row r="94" spans="1:18" x14ac:dyDescent="0.3">
      <c r="A94" t="s">
        <v>128</v>
      </c>
      <c r="B94" s="1">
        <v>45728</v>
      </c>
      <c r="C94" s="1">
        <v>45769</v>
      </c>
      <c r="D94" t="s">
        <v>12</v>
      </c>
      <c r="E94" t="s">
        <v>25</v>
      </c>
      <c r="F94" t="s">
        <v>14</v>
      </c>
      <c r="G94" s="2">
        <v>0</v>
      </c>
      <c r="H94" t="s">
        <v>26</v>
      </c>
      <c r="I94" t="s">
        <v>27</v>
      </c>
      <c r="J94">
        <v>2</v>
      </c>
      <c r="K94" t="s">
        <v>18</v>
      </c>
      <c r="L94" t="s">
        <v>17</v>
      </c>
      <c r="M94">
        <f>YEAR(Scaleflow[[#This Row],[Signup_Date]])</f>
        <v>2025</v>
      </c>
      <c r="N94" t="str">
        <f>TEXT(Scaleflow[[#This Row],[Signup_Date]],"MMM")</f>
        <v>Mar</v>
      </c>
      <c r="O94" t="str">
        <f>IF(Scaleflow[[#This Row],[Monthly_Revenue]]=0,"Free","Paid")</f>
        <v>Free</v>
      </c>
      <c r="P94">
        <f>YEAR(Scaleflow[[#This Row],[TransactionDate]])</f>
        <v>2025</v>
      </c>
      <c r="Q94">
        <f>MONTH(Scaleflow[[#This Row],[TransactionDate]])</f>
        <v>4</v>
      </c>
      <c r="R94" t="str">
        <f>TEXT(Scaleflow[[#This Row],[TransactionDate]],"MMM")</f>
        <v>Apr</v>
      </c>
    </row>
    <row r="95" spans="1:18" x14ac:dyDescent="0.3">
      <c r="A95" t="s">
        <v>129</v>
      </c>
      <c r="B95" s="1">
        <v>45038</v>
      </c>
      <c r="C95" s="1">
        <v>45412</v>
      </c>
      <c r="D95" t="s">
        <v>20</v>
      </c>
      <c r="E95" t="s">
        <v>41</v>
      </c>
      <c r="F95" t="s">
        <v>14</v>
      </c>
      <c r="G95" s="2">
        <v>0</v>
      </c>
      <c r="H95" t="s">
        <v>22</v>
      </c>
      <c r="I95" t="s">
        <v>31</v>
      </c>
      <c r="J95">
        <v>5</v>
      </c>
      <c r="K95" t="s">
        <v>17</v>
      </c>
      <c r="L95" t="s">
        <v>18</v>
      </c>
      <c r="M95">
        <f>YEAR(Scaleflow[[#This Row],[Signup_Date]])</f>
        <v>2023</v>
      </c>
      <c r="N95" t="str">
        <f>TEXT(Scaleflow[[#This Row],[Signup_Date]],"MMM")</f>
        <v>Apr</v>
      </c>
      <c r="O95" t="str">
        <f>IF(Scaleflow[[#This Row],[Monthly_Revenue]]=0,"Free","Paid")</f>
        <v>Free</v>
      </c>
      <c r="P95">
        <f>YEAR(Scaleflow[[#This Row],[TransactionDate]])</f>
        <v>2024</v>
      </c>
      <c r="Q95">
        <f>MONTH(Scaleflow[[#This Row],[TransactionDate]])</f>
        <v>4</v>
      </c>
      <c r="R95" t="str">
        <f>TEXT(Scaleflow[[#This Row],[TransactionDate]],"MMM")</f>
        <v>Apr</v>
      </c>
    </row>
    <row r="96" spans="1:18" x14ac:dyDescent="0.3">
      <c r="A96" t="s">
        <v>130</v>
      </c>
      <c r="B96" s="1">
        <v>45154</v>
      </c>
      <c r="C96" s="1">
        <v>45206</v>
      </c>
      <c r="D96" t="s">
        <v>24</v>
      </c>
      <c r="E96" t="s">
        <v>21</v>
      </c>
      <c r="F96" t="s">
        <v>29</v>
      </c>
      <c r="G96" s="2">
        <v>17996</v>
      </c>
      <c r="H96" t="s">
        <v>26</v>
      </c>
      <c r="I96" t="s">
        <v>36</v>
      </c>
      <c r="J96">
        <v>2</v>
      </c>
      <c r="K96" t="s">
        <v>17</v>
      </c>
      <c r="L96" t="s">
        <v>18</v>
      </c>
      <c r="M96">
        <f>YEAR(Scaleflow[[#This Row],[Signup_Date]])</f>
        <v>2023</v>
      </c>
      <c r="N96" t="str">
        <f>TEXT(Scaleflow[[#This Row],[Signup_Date]],"MMM")</f>
        <v>Aug</v>
      </c>
      <c r="O96" t="str">
        <f>IF(Scaleflow[[#This Row],[Monthly_Revenue]]=0,"Free","Paid")</f>
        <v>Paid</v>
      </c>
      <c r="P96">
        <f>YEAR(Scaleflow[[#This Row],[TransactionDate]])</f>
        <v>2023</v>
      </c>
      <c r="Q96">
        <f>MONTH(Scaleflow[[#This Row],[TransactionDate]])</f>
        <v>10</v>
      </c>
      <c r="R96" t="str">
        <f>TEXT(Scaleflow[[#This Row],[TransactionDate]],"MMM")</f>
        <v>Oct</v>
      </c>
    </row>
    <row r="97" spans="1:18" x14ac:dyDescent="0.3">
      <c r="A97" t="s">
        <v>131</v>
      </c>
      <c r="B97" s="1">
        <v>45447</v>
      </c>
      <c r="C97" s="1">
        <v>45741</v>
      </c>
      <c r="D97" t="s">
        <v>12</v>
      </c>
      <c r="E97" t="s">
        <v>13</v>
      </c>
      <c r="F97" t="s">
        <v>46</v>
      </c>
      <c r="G97" s="2">
        <v>44749</v>
      </c>
      <c r="H97" t="s">
        <v>15</v>
      </c>
      <c r="I97" t="s">
        <v>42</v>
      </c>
      <c r="J97">
        <v>0</v>
      </c>
      <c r="K97" t="s">
        <v>17</v>
      </c>
      <c r="L97" t="s">
        <v>18</v>
      </c>
      <c r="M97">
        <f>YEAR(Scaleflow[[#This Row],[Signup_Date]])</f>
        <v>2024</v>
      </c>
      <c r="N97" t="str">
        <f>TEXT(Scaleflow[[#This Row],[Signup_Date]],"MMM")</f>
        <v>Jun</v>
      </c>
      <c r="O97" t="str">
        <f>IF(Scaleflow[[#This Row],[Monthly_Revenue]]=0,"Free","Paid")</f>
        <v>Paid</v>
      </c>
      <c r="P97">
        <f>YEAR(Scaleflow[[#This Row],[TransactionDate]])</f>
        <v>2025</v>
      </c>
      <c r="Q97">
        <f>MONTH(Scaleflow[[#This Row],[TransactionDate]])</f>
        <v>3</v>
      </c>
      <c r="R97" t="str">
        <f>TEXT(Scaleflow[[#This Row],[TransactionDate]],"MMM")</f>
        <v>Mar</v>
      </c>
    </row>
    <row r="98" spans="1:18" x14ac:dyDescent="0.3">
      <c r="A98" t="s">
        <v>132</v>
      </c>
      <c r="B98" s="1">
        <v>45043</v>
      </c>
      <c r="C98" s="1">
        <v>45114</v>
      </c>
      <c r="D98" t="s">
        <v>20</v>
      </c>
      <c r="E98" t="s">
        <v>41</v>
      </c>
      <c r="F98" t="s">
        <v>14</v>
      </c>
      <c r="G98" s="2">
        <v>0</v>
      </c>
      <c r="H98" t="s">
        <v>26</v>
      </c>
      <c r="I98" t="s">
        <v>27</v>
      </c>
      <c r="J98">
        <v>0</v>
      </c>
      <c r="K98" t="s">
        <v>17</v>
      </c>
      <c r="L98" t="s">
        <v>18</v>
      </c>
      <c r="M98">
        <f>YEAR(Scaleflow[[#This Row],[Signup_Date]])</f>
        <v>2023</v>
      </c>
      <c r="N98" t="str">
        <f>TEXT(Scaleflow[[#This Row],[Signup_Date]],"MMM")</f>
        <v>Apr</v>
      </c>
      <c r="O98" t="str">
        <f>IF(Scaleflow[[#This Row],[Monthly_Revenue]]=0,"Free","Paid")</f>
        <v>Free</v>
      </c>
      <c r="P98">
        <f>YEAR(Scaleflow[[#This Row],[TransactionDate]])</f>
        <v>2023</v>
      </c>
      <c r="Q98">
        <f>MONTH(Scaleflow[[#This Row],[TransactionDate]])</f>
        <v>7</v>
      </c>
      <c r="R98" t="str">
        <f>TEXT(Scaleflow[[#This Row],[TransactionDate]],"MMM")</f>
        <v>Jul</v>
      </c>
    </row>
    <row r="99" spans="1:18" x14ac:dyDescent="0.3">
      <c r="A99" t="s">
        <v>133</v>
      </c>
      <c r="B99" s="1">
        <v>45756</v>
      </c>
      <c r="C99" s="1">
        <v>45971</v>
      </c>
      <c r="D99" t="s">
        <v>24</v>
      </c>
      <c r="E99" t="s">
        <v>21</v>
      </c>
      <c r="F99" t="s">
        <v>29</v>
      </c>
      <c r="G99" s="2">
        <v>15485</v>
      </c>
      <c r="H99" t="s">
        <v>15</v>
      </c>
      <c r="I99" t="s">
        <v>31</v>
      </c>
      <c r="J99">
        <v>5</v>
      </c>
      <c r="K99" t="s">
        <v>18</v>
      </c>
      <c r="L99" t="s">
        <v>17</v>
      </c>
      <c r="M99">
        <f>YEAR(Scaleflow[[#This Row],[Signup_Date]])</f>
        <v>2025</v>
      </c>
      <c r="N99" t="str">
        <f>TEXT(Scaleflow[[#This Row],[Signup_Date]],"MMM")</f>
        <v>Apr</v>
      </c>
      <c r="O99" t="str">
        <f>IF(Scaleflow[[#This Row],[Monthly_Revenue]]=0,"Free","Paid")</f>
        <v>Paid</v>
      </c>
      <c r="P99">
        <f>YEAR(Scaleflow[[#This Row],[TransactionDate]])</f>
        <v>2025</v>
      </c>
      <c r="Q99">
        <f>MONTH(Scaleflow[[#This Row],[TransactionDate]])</f>
        <v>11</v>
      </c>
      <c r="R99" t="str">
        <f>TEXT(Scaleflow[[#This Row],[TransactionDate]],"MMM")</f>
        <v>Nov</v>
      </c>
    </row>
    <row r="100" spans="1:18" x14ac:dyDescent="0.3">
      <c r="A100" t="s">
        <v>134</v>
      </c>
      <c r="B100" s="1">
        <v>45317</v>
      </c>
      <c r="C100" s="1">
        <v>45358</v>
      </c>
      <c r="D100" t="s">
        <v>12</v>
      </c>
      <c r="E100" t="s">
        <v>25</v>
      </c>
      <c r="F100" t="s">
        <v>29</v>
      </c>
      <c r="G100" s="2">
        <v>13961</v>
      </c>
      <c r="H100" t="s">
        <v>22</v>
      </c>
      <c r="I100" t="s">
        <v>27</v>
      </c>
      <c r="J100">
        <v>2</v>
      </c>
      <c r="K100" t="s">
        <v>18</v>
      </c>
      <c r="L100" t="s">
        <v>17</v>
      </c>
      <c r="M100">
        <f>YEAR(Scaleflow[[#This Row],[Signup_Date]])</f>
        <v>2024</v>
      </c>
      <c r="N100" t="str">
        <f>TEXT(Scaleflow[[#This Row],[Signup_Date]],"MMM")</f>
        <v>Jan</v>
      </c>
      <c r="O100" t="str">
        <f>IF(Scaleflow[[#This Row],[Monthly_Revenue]]=0,"Free","Paid")</f>
        <v>Paid</v>
      </c>
      <c r="P100">
        <f>YEAR(Scaleflow[[#This Row],[TransactionDate]])</f>
        <v>2024</v>
      </c>
      <c r="Q100">
        <f>MONTH(Scaleflow[[#This Row],[TransactionDate]])</f>
        <v>3</v>
      </c>
      <c r="R100" t="str">
        <f>TEXT(Scaleflow[[#This Row],[TransactionDate]],"MMM")</f>
        <v>Mar</v>
      </c>
    </row>
    <row r="101" spans="1:18" x14ac:dyDescent="0.3">
      <c r="A101" t="s">
        <v>135</v>
      </c>
      <c r="B101" s="1">
        <v>45173</v>
      </c>
      <c r="C101" s="1">
        <v>45401</v>
      </c>
      <c r="D101" t="s">
        <v>24</v>
      </c>
      <c r="E101" t="s">
        <v>33</v>
      </c>
      <c r="F101" t="s">
        <v>12</v>
      </c>
      <c r="G101" s="2">
        <v>143726</v>
      </c>
      <c r="H101" t="s">
        <v>15</v>
      </c>
      <c r="I101" t="s">
        <v>16</v>
      </c>
      <c r="J101">
        <v>2</v>
      </c>
      <c r="K101" t="s">
        <v>18</v>
      </c>
      <c r="L101" t="s">
        <v>17</v>
      </c>
      <c r="M101">
        <f>YEAR(Scaleflow[[#This Row],[Signup_Date]])</f>
        <v>2023</v>
      </c>
      <c r="N101" t="str">
        <f>TEXT(Scaleflow[[#This Row],[Signup_Date]],"MMM")</f>
        <v>Sep</v>
      </c>
      <c r="O101" t="str">
        <f>IF(Scaleflow[[#This Row],[Monthly_Revenue]]=0,"Free","Paid")</f>
        <v>Paid</v>
      </c>
      <c r="P101">
        <f>YEAR(Scaleflow[[#This Row],[TransactionDate]])</f>
        <v>2024</v>
      </c>
      <c r="Q101">
        <f>MONTH(Scaleflow[[#This Row],[TransactionDate]])</f>
        <v>4</v>
      </c>
      <c r="R101" t="str">
        <f>TEXT(Scaleflow[[#This Row],[TransactionDate]],"MMM")</f>
        <v>Apr</v>
      </c>
    </row>
    <row r="102" spans="1:18" x14ac:dyDescent="0.3">
      <c r="A102" t="s">
        <v>136</v>
      </c>
      <c r="B102" s="1">
        <v>44947</v>
      </c>
      <c r="C102" s="1">
        <v>45268</v>
      </c>
      <c r="D102" t="s">
        <v>24</v>
      </c>
      <c r="E102" t="s">
        <v>33</v>
      </c>
      <c r="F102" t="s">
        <v>46</v>
      </c>
      <c r="G102" s="2">
        <v>57328</v>
      </c>
      <c r="H102" t="s">
        <v>49</v>
      </c>
      <c r="I102" t="s">
        <v>16</v>
      </c>
      <c r="J102">
        <v>1</v>
      </c>
      <c r="K102" t="s">
        <v>18</v>
      </c>
      <c r="L102" t="s">
        <v>17</v>
      </c>
      <c r="M102">
        <f>YEAR(Scaleflow[[#This Row],[Signup_Date]])</f>
        <v>2023</v>
      </c>
      <c r="N102" t="str">
        <f>TEXT(Scaleflow[[#This Row],[Signup_Date]],"MMM")</f>
        <v>Jan</v>
      </c>
      <c r="O102" t="str">
        <f>IF(Scaleflow[[#This Row],[Monthly_Revenue]]=0,"Free","Paid")</f>
        <v>Paid</v>
      </c>
      <c r="P102">
        <f>YEAR(Scaleflow[[#This Row],[TransactionDate]])</f>
        <v>2023</v>
      </c>
      <c r="Q102">
        <f>MONTH(Scaleflow[[#This Row],[TransactionDate]])</f>
        <v>12</v>
      </c>
      <c r="R102" t="str">
        <f>TEXT(Scaleflow[[#This Row],[TransactionDate]],"MMM")</f>
        <v>Dec</v>
      </c>
    </row>
    <row r="103" spans="1:18" x14ac:dyDescent="0.3">
      <c r="A103" t="s">
        <v>137</v>
      </c>
      <c r="B103" s="1">
        <v>45036</v>
      </c>
      <c r="C103" s="1">
        <v>45913</v>
      </c>
      <c r="D103" t="s">
        <v>12</v>
      </c>
      <c r="E103" t="s">
        <v>13</v>
      </c>
      <c r="F103" t="s">
        <v>12</v>
      </c>
      <c r="G103" s="2">
        <v>225167</v>
      </c>
      <c r="H103" t="s">
        <v>49</v>
      </c>
      <c r="I103" t="s">
        <v>31</v>
      </c>
      <c r="J103">
        <v>0</v>
      </c>
      <c r="K103" t="s">
        <v>18</v>
      </c>
      <c r="L103" t="s">
        <v>17</v>
      </c>
      <c r="M103">
        <f>YEAR(Scaleflow[[#This Row],[Signup_Date]])</f>
        <v>2023</v>
      </c>
      <c r="N103" t="str">
        <f>TEXT(Scaleflow[[#This Row],[Signup_Date]],"MMM")</f>
        <v>Apr</v>
      </c>
      <c r="O103" t="str">
        <f>IF(Scaleflow[[#This Row],[Monthly_Revenue]]=0,"Free","Paid")</f>
        <v>Paid</v>
      </c>
      <c r="P103">
        <f>YEAR(Scaleflow[[#This Row],[TransactionDate]])</f>
        <v>2025</v>
      </c>
      <c r="Q103">
        <f>MONTH(Scaleflow[[#This Row],[TransactionDate]])</f>
        <v>9</v>
      </c>
      <c r="R103" t="str">
        <f>TEXT(Scaleflow[[#This Row],[TransactionDate]],"MMM")</f>
        <v>Sep</v>
      </c>
    </row>
    <row r="104" spans="1:18" x14ac:dyDescent="0.3">
      <c r="A104" t="s">
        <v>138</v>
      </c>
      <c r="B104" s="1">
        <v>45704</v>
      </c>
      <c r="C104" s="1">
        <v>45985</v>
      </c>
      <c r="D104" t="s">
        <v>24</v>
      </c>
      <c r="E104" t="s">
        <v>39</v>
      </c>
      <c r="F104" t="s">
        <v>29</v>
      </c>
      <c r="G104" s="2">
        <v>12776</v>
      </c>
      <c r="H104" t="s">
        <v>34</v>
      </c>
      <c r="I104" t="s">
        <v>36</v>
      </c>
      <c r="J104">
        <v>2</v>
      </c>
      <c r="K104" t="s">
        <v>18</v>
      </c>
      <c r="L104" t="s">
        <v>17</v>
      </c>
      <c r="M104">
        <f>YEAR(Scaleflow[[#This Row],[Signup_Date]])</f>
        <v>2025</v>
      </c>
      <c r="N104" t="str">
        <f>TEXT(Scaleflow[[#This Row],[Signup_Date]],"MMM")</f>
        <v>Feb</v>
      </c>
      <c r="O104" t="str">
        <f>IF(Scaleflow[[#This Row],[Monthly_Revenue]]=0,"Free","Paid")</f>
        <v>Paid</v>
      </c>
      <c r="P104">
        <f>YEAR(Scaleflow[[#This Row],[TransactionDate]])</f>
        <v>2025</v>
      </c>
      <c r="Q104">
        <f>MONTH(Scaleflow[[#This Row],[TransactionDate]])</f>
        <v>11</v>
      </c>
      <c r="R104" t="str">
        <f>TEXT(Scaleflow[[#This Row],[TransactionDate]],"MMM")</f>
        <v>Nov</v>
      </c>
    </row>
    <row r="105" spans="1:18" x14ac:dyDescent="0.3">
      <c r="A105" t="s">
        <v>139</v>
      </c>
      <c r="B105" s="1">
        <v>45833</v>
      </c>
      <c r="C105" s="1">
        <v>45863</v>
      </c>
      <c r="D105" t="s">
        <v>24</v>
      </c>
      <c r="E105" t="s">
        <v>25</v>
      </c>
      <c r="F105" t="s">
        <v>46</v>
      </c>
      <c r="G105" s="2">
        <v>38127</v>
      </c>
      <c r="H105" t="s">
        <v>34</v>
      </c>
      <c r="I105" t="s">
        <v>16</v>
      </c>
      <c r="J105">
        <v>3</v>
      </c>
      <c r="K105" t="s">
        <v>18</v>
      </c>
      <c r="L105" t="s">
        <v>17</v>
      </c>
      <c r="M105">
        <f>YEAR(Scaleflow[[#This Row],[Signup_Date]])</f>
        <v>2025</v>
      </c>
      <c r="N105" t="str">
        <f>TEXT(Scaleflow[[#This Row],[Signup_Date]],"MMM")</f>
        <v>Jun</v>
      </c>
      <c r="O105" t="str">
        <f>IF(Scaleflow[[#This Row],[Monthly_Revenue]]=0,"Free","Paid")</f>
        <v>Paid</v>
      </c>
      <c r="P105">
        <f>YEAR(Scaleflow[[#This Row],[TransactionDate]])</f>
        <v>2025</v>
      </c>
      <c r="Q105">
        <f>MONTH(Scaleflow[[#This Row],[TransactionDate]])</f>
        <v>7</v>
      </c>
      <c r="R105" t="str">
        <f>TEXT(Scaleflow[[#This Row],[TransactionDate]],"MMM")</f>
        <v>Jul</v>
      </c>
    </row>
    <row r="106" spans="1:18" x14ac:dyDescent="0.3">
      <c r="A106" t="s">
        <v>140</v>
      </c>
      <c r="B106" s="1">
        <v>44935</v>
      </c>
      <c r="C106" s="1">
        <v>45295</v>
      </c>
      <c r="D106" t="s">
        <v>12</v>
      </c>
      <c r="E106" t="s">
        <v>13</v>
      </c>
      <c r="F106" t="s">
        <v>12</v>
      </c>
      <c r="G106" s="2">
        <v>152778</v>
      </c>
      <c r="H106" t="s">
        <v>34</v>
      </c>
      <c r="I106" t="s">
        <v>16</v>
      </c>
      <c r="J106">
        <v>5</v>
      </c>
      <c r="K106" t="s">
        <v>18</v>
      </c>
      <c r="L106" t="s">
        <v>17</v>
      </c>
      <c r="M106">
        <f>YEAR(Scaleflow[[#This Row],[Signup_Date]])</f>
        <v>2023</v>
      </c>
      <c r="N106" t="str">
        <f>TEXT(Scaleflow[[#This Row],[Signup_Date]],"MMM")</f>
        <v>Jan</v>
      </c>
      <c r="O106" t="str">
        <f>IF(Scaleflow[[#This Row],[Monthly_Revenue]]=0,"Free","Paid")</f>
        <v>Paid</v>
      </c>
      <c r="P106">
        <f>YEAR(Scaleflow[[#This Row],[TransactionDate]])</f>
        <v>2024</v>
      </c>
      <c r="Q106">
        <f>MONTH(Scaleflow[[#This Row],[TransactionDate]])</f>
        <v>1</v>
      </c>
      <c r="R106" t="str">
        <f>TEXT(Scaleflow[[#This Row],[TransactionDate]],"MMM")</f>
        <v>Jan</v>
      </c>
    </row>
    <row r="107" spans="1:18" x14ac:dyDescent="0.3">
      <c r="A107" t="s">
        <v>141</v>
      </c>
      <c r="B107" s="1">
        <v>45833</v>
      </c>
      <c r="C107" s="1">
        <v>45909</v>
      </c>
      <c r="D107" t="s">
        <v>12</v>
      </c>
      <c r="E107" t="s">
        <v>21</v>
      </c>
      <c r="F107" t="s">
        <v>14</v>
      </c>
      <c r="G107" s="2">
        <v>0</v>
      </c>
      <c r="H107" t="s">
        <v>34</v>
      </c>
      <c r="I107" t="s">
        <v>36</v>
      </c>
      <c r="J107">
        <v>1</v>
      </c>
      <c r="K107" t="s">
        <v>17</v>
      </c>
      <c r="L107" t="s">
        <v>18</v>
      </c>
      <c r="M107">
        <f>YEAR(Scaleflow[[#This Row],[Signup_Date]])</f>
        <v>2025</v>
      </c>
      <c r="N107" t="str">
        <f>TEXT(Scaleflow[[#This Row],[Signup_Date]],"MMM")</f>
        <v>Jun</v>
      </c>
      <c r="O107" t="str">
        <f>IF(Scaleflow[[#This Row],[Monthly_Revenue]]=0,"Free","Paid")</f>
        <v>Free</v>
      </c>
      <c r="P107">
        <f>YEAR(Scaleflow[[#This Row],[TransactionDate]])</f>
        <v>2025</v>
      </c>
      <c r="Q107">
        <f>MONTH(Scaleflow[[#This Row],[TransactionDate]])</f>
        <v>9</v>
      </c>
      <c r="R107" t="str">
        <f>TEXT(Scaleflow[[#This Row],[TransactionDate]],"MMM")</f>
        <v>Sep</v>
      </c>
    </row>
    <row r="108" spans="1:18" x14ac:dyDescent="0.3">
      <c r="A108" t="s">
        <v>142</v>
      </c>
      <c r="B108" s="1">
        <v>45801</v>
      </c>
      <c r="C108" s="1">
        <v>45951</v>
      </c>
      <c r="D108" t="s">
        <v>24</v>
      </c>
      <c r="E108" t="s">
        <v>33</v>
      </c>
      <c r="F108" t="s">
        <v>12</v>
      </c>
      <c r="G108" s="2">
        <v>248578</v>
      </c>
      <c r="H108" t="s">
        <v>26</v>
      </c>
      <c r="I108" t="s">
        <v>31</v>
      </c>
      <c r="J108">
        <v>4</v>
      </c>
      <c r="K108" t="s">
        <v>17</v>
      </c>
      <c r="L108" t="s">
        <v>18</v>
      </c>
      <c r="M108">
        <f>YEAR(Scaleflow[[#This Row],[Signup_Date]])</f>
        <v>2025</v>
      </c>
      <c r="N108" t="str">
        <f>TEXT(Scaleflow[[#This Row],[Signup_Date]],"MMM")</f>
        <v>May</v>
      </c>
      <c r="O108" t="str">
        <f>IF(Scaleflow[[#This Row],[Monthly_Revenue]]=0,"Free","Paid")</f>
        <v>Paid</v>
      </c>
      <c r="P108">
        <f>YEAR(Scaleflow[[#This Row],[TransactionDate]])</f>
        <v>2025</v>
      </c>
      <c r="Q108">
        <f>MONTH(Scaleflow[[#This Row],[TransactionDate]])</f>
        <v>10</v>
      </c>
      <c r="R108" t="str">
        <f>TEXT(Scaleflow[[#This Row],[TransactionDate]],"MMM")</f>
        <v>Oct</v>
      </c>
    </row>
    <row r="109" spans="1:18" x14ac:dyDescent="0.3">
      <c r="A109" t="s">
        <v>143</v>
      </c>
      <c r="B109" s="1">
        <v>45798</v>
      </c>
      <c r="C109" s="1">
        <v>45980</v>
      </c>
      <c r="D109" t="s">
        <v>12</v>
      </c>
      <c r="E109" t="s">
        <v>41</v>
      </c>
      <c r="F109" t="s">
        <v>29</v>
      </c>
      <c r="G109" s="2">
        <v>12868</v>
      </c>
      <c r="H109" t="s">
        <v>26</v>
      </c>
      <c r="I109" t="s">
        <v>27</v>
      </c>
      <c r="J109">
        <v>4</v>
      </c>
      <c r="K109" t="s">
        <v>18</v>
      </c>
      <c r="L109" t="s">
        <v>17</v>
      </c>
      <c r="M109">
        <f>YEAR(Scaleflow[[#This Row],[Signup_Date]])</f>
        <v>2025</v>
      </c>
      <c r="N109" t="str">
        <f>TEXT(Scaleflow[[#This Row],[Signup_Date]],"MMM")</f>
        <v>May</v>
      </c>
      <c r="O109" t="str">
        <f>IF(Scaleflow[[#This Row],[Monthly_Revenue]]=0,"Free","Paid")</f>
        <v>Paid</v>
      </c>
      <c r="P109">
        <f>YEAR(Scaleflow[[#This Row],[TransactionDate]])</f>
        <v>2025</v>
      </c>
      <c r="Q109">
        <f>MONTH(Scaleflow[[#This Row],[TransactionDate]])</f>
        <v>11</v>
      </c>
      <c r="R109" t="str">
        <f>TEXT(Scaleflow[[#This Row],[TransactionDate]],"MMM")</f>
        <v>Nov</v>
      </c>
    </row>
    <row r="110" spans="1:18" x14ac:dyDescent="0.3">
      <c r="A110" t="s">
        <v>144</v>
      </c>
      <c r="B110" s="1">
        <v>45695</v>
      </c>
      <c r="C110" s="1">
        <v>45900</v>
      </c>
      <c r="D110" t="s">
        <v>24</v>
      </c>
      <c r="E110" t="s">
        <v>13</v>
      </c>
      <c r="F110" t="s">
        <v>12</v>
      </c>
      <c r="G110" s="2">
        <v>233144</v>
      </c>
      <c r="H110" t="s">
        <v>22</v>
      </c>
      <c r="I110" t="s">
        <v>27</v>
      </c>
      <c r="J110">
        <v>0</v>
      </c>
      <c r="K110" t="s">
        <v>18</v>
      </c>
      <c r="L110" t="s">
        <v>17</v>
      </c>
      <c r="M110">
        <f>YEAR(Scaleflow[[#This Row],[Signup_Date]])</f>
        <v>2025</v>
      </c>
      <c r="N110" t="str">
        <f>TEXT(Scaleflow[[#This Row],[Signup_Date]],"MMM")</f>
        <v>Feb</v>
      </c>
      <c r="O110" t="str">
        <f>IF(Scaleflow[[#This Row],[Monthly_Revenue]]=0,"Free","Paid")</f>
        <v>Paid</v>
      </c>
      <c r="P110">
        <f>YEAR(Scaleflow[[#This Row],[TransactionDate]])</f>
        <v>2025</v>
      </c>
      <c r="Q110">
        <f>MONTH(Scaleflow[[#This Row],[TransactionDate]])</f>
        <v>8</v>
      </c>
      <c r="R110" t="str">
        <f>TEXT(Scaleflow[[#This Row],[TransactionDate]],"MMM")</f>
        <v>Aug</v>
      </c>
    </row>
    <row r="111" spans="1:18" x14ac:dyDescent="0.3">
      <c r="A111" t="s">
        <v>145</v>
      </c>
      <c r="B111" s="1">
        <v>45890</v>
      </c>
      <c r="C111" s="1">
        <v>45991</v>
      </c>
      <c r="D111" t="s">
        <v>24</v>
      </c>
      <c r="E111" t="s">
        <v>41</v>
      </c>
      <c r="F111" t="s">
        <v>12</v>
      </c>
      <c r="G111" s="2">
        <v>213170</v>
      </c>
      <c r="H111" t="s">
        <v>34</v>
      </c>
      <c r="I111" t="s">
        <v>16</v>
      </c>
      <c r="J111">
        <v>0</v>
      </c>
      <c r="K111" t="s">
        <v>18</v>
      </c>
      <c r="L111" t="s">
        <v>17</v>
      </c>
      <c r="M111">
        <f>YEAR(Scaleflow[[#This Row],[Signup_Date]])</f>
        <v>2025</v>
      </c>
      <c r="N111" t="str">
        <f>TEXT(Scaleflow[[#This Row],[Signup_Date]],"MMM")</f>
        <v>Aug</v>
      </c>
      <c r="O111" t="str">
        <f>IF(Scaleflow[[#This Row],[Monthly_Revenue]]=0,"Free","Paid")</f>
        <v>Paid</v>
      </c>
      <c r="P111">
        <f>YEAR(Scaleflow[[#This Row],[TransactionDate]])</f>
        <v>2025</v>
      </c>
      <c r="Q111">
        <f>MONTH(Scaleflow[[#This Row],[TransactionDate]])</f>
        <v>11</v>
      </c>
      <c r="R111" t="str">
        <f>TEXT(Scaleflow[[#This Row],[TransactionDate]],"MMM")</f>
        <v>Nov</v>
      </c>
    </row>
    <row r="112" spans="1:18" x14ac:dyDescent="0.3">
      <c r="A112" t="s">
        <v>146</v>
      </c>
      <c r="B112" s="1">
        <v>45103</v>
      </c>
      <c r="C112" s="1">
        <v>45756</v>
      </c>
      <c r="D112" t="s">
        <v>20</v>
      </c>
      <c r="E112" t="s">
        <v>21</v>
      </c>
      <c r="F112" t="s">
        <v>46</v>
      </c>
      <c r="G112" s="2">
        <v>53512</v>
      </c>
      <c r="H112" t="s">
        <v>30</v>
      </c>
      <c r="I112" t="s">
        <v>36</v>
      </c>
      <c r="J112">
        <v>2</v>
      </c>
      <c r="K112" t="s">
        <v>17</v>
      </c>
      <c r="L112" t="s">
        <v>18</v>
      </c>
      <c r="M112">
        <f>YEAR(Scaleflow[[#This Row],[Signup_Date]])</f>
        <v>2023</v>
      </c>
      <c r="N112" t="str">
        <f>TEXT(Scaleflow[[#This Row],[Signup_Date]],"MMM")</f>
        <v>Jun</v>
      </c>
      <c r="O112" t="str">
        <f>IF(Scaleflow[[#This Row],[Monthly_Revenue]]=0,"Free","Paid")</f>
        <v>Paid</v>
      </c>
      <c r="P112">
        <f>YEAR(Scaleflow[[#This Row],[TransactionDate]])</f>
        <v>2025</v>
      </c>
      <c r="Q112">
        <f>MONTH(Scaleflow[[#This Row],[TransactionDate]])</f>
        <v>4</v>
      </c>
      <c r="R112" t="str">
        <f>TEXT(Scaleflow[[#This Row],[TransactionDate]],"MMM")</f>
        <v>Apr</v>
      </c>
    </row>
    <row r="113" spans="1:18" x14ac:dyDescent="0.3">
      <c r="A113" t="s">
        <v>147</v>
      </c>
      <c r="B113" s="1">
        <v>45327</v>
      </c>
      <c r="C113" s="1">
        <v>45661</v>
      </c>
      <c r="D113" t="s">
        <v>24</v>
      </c>
      <c r="E113" t="s">
        <v>25</v>
      </c>
      <c r="F113" t="s">
        <v>12</v>
      </c>
      <c r="G113" s="2">
        <v>182298</v>
      </c>
      <c r="H113" t="s">
        <v>34</v>
      </c>
      <c r="I113" t="s">
        <v>42</v>
      </c>
      <c r="J113">
        <v>0</v>
      </c>
      <c r="K113" t="s">
        <v>18</v>
      </c>
      <c r="L113" t="s">
        <v>17</v>
      </c>
      <c r="M113">
        <f>YEAR(Scaleflow[[#This Row],[Signup_Date]])</f>
        <v>2024</v>
      </c>
      <c r="N113" t="str">
        <f>TEXT(Scaleflow[[#This Row],[Signup_Date]],"MMM")</f>
        <v>Feb</v>
      </c>
      <c r="O113" t="str">
        <f>IF(Scaleflow[[#This Row],[Monthly_Revenue]]=0,"Free","Paid")</f>
        <v>Paid</v>
      </c>
      <c r="P113">
        <f>YEAR(Scaleflow[[#This Row],[TransactionDate]])</f>
        <v>2025</v>
      </c>
      <c r="Q113">
        <f>MONTH(Scaleflow[[#This Row],[TransactionDate]])</f>
        <v>1</v>
      </c>
      <c r="R113" t="str">
        <f>TEXT(Scaleflow[[#This Row],[TransactionDate]],"MMM")</f>
        <v>Jan</v>
      </c>
    </row>
    <row r="114" spans="1:18" x14ac:dyDescent="0.3">
      <c r="A114" t="s">
        <v>148</v>
      </c>
      <c r="B114" s="1">
        <v>45043</v>
      </c>
      <c r="C114" s="1">
        <v>45438</v>
      </c>
      <c r="D114" t="s">
        <v>20</v>
      </c>
      <c r="E114" t="s">
        <v>25</v>
      </c>
      <c r="F114" t="s">
        <v>46</v>
      </c>
      <c r="G114" s="2">
        <v>31651</v>
      </c>
      <c r="H114" t="s">
        <v>49</v>
      </c>
      <c r="I114" t="s">
        <v>16</v>
      </c>
      <c r="J114">
        <v>5</v>
      </c>
      <c r="K114" t="s">
        <v>18</v>
      </c>
      <c r="L114" t="s">
        <v>17</v>
      </c>
      <c r="M114">
        <f>YEAR(Scaleflow[[#This Row],[Signup_Date]])</f>
        <v>2023</v>
      </c>
      <c r="N114" t="str">
        <f>TEXT(Scaleflow[[#This Row],[Signup_Date]],"MMM")</f>
        <v>Apr</v>
      </c>
      <c r="O114" t="str">
        <f>IF(Scaleflow[[#This Row],[Monthly_Revenue]]=0,"Free","Paid")</f>
        <v>Paid</v>
      </c>
      <c r="P114">
        <f>YEAR(Scaleflow[[#This Row],[TransactionDate]])</f>
        <v>2024</v>
      </c>
      <c r="Q114">
        <f>MONTH(Scaleflow[[#This Row],[TransactionDate]])</f>
        <v>5</v>
      </c>
      <c r="R114" t="str">
        <f>TEXT(Scaleflow[[#This Row],[TransactionDate]],"MMM")</f>
        <v>May</v>
      </c>
    </row>
    <row r="115" spans="1:18" x14ac:dyDescent="0.3">
      <c r="A115" t="s">
        <v>149</v>
      </c>
      <c r="B115" s="1">
        <v>45730</v>
      </c>
      <c r="C115" s="1">
        <v>46021</v>
      </c>
      <c r="D115" t="s">
        <v>20</v>
      </c>
      <c r="E115" t="s">
        <v>13</v>
      </c>
      <c r="F115" t="s">
        <v>14</v>
      </c>
      <c r="G115" s="2">
        <v>0</v>
      </c>
      <c r="H115" t="s">
        <v>26</v>
      </c>
      <c r="I115" t="s">
        <v>42</v>
      </c>
      <c r="J115">
        <v>1</v>
      </c>
      <c r="K115" t="s">
        <v>18</v>
      </c>
      <c r="L115" t="s">
        <v>17</v>
      </c>
      <c r="M115">
        <f>YEAR(Scaleflow[[#This Row],[Signup_Date]])</f>
        <v>2025</v>
      </c>
      <c r="N115" t="str">
        <f>TEXT(Scaleflow[[#This Row],[Signup_Date]],"MMM")</f>
        <v>Mar</v>
      </c>
      <c r="O115" t="str">
        <f>IF(Scaleflow[[#This Row],[Monthly_Revenue]]=0,"Free","Paid")</f>
        <v>Free</v>
      </c>
      <c r="P115">
        <f>YEAR(Scaleflow[[#This Row],[TransactionDate]])</f>
        <v>2025</v>
      </c>
      <c r="Q115">
        <f>MONTH(Scaleflow[[#This Row],[TransactionDate]])</f>
        <v>12</v>
      </c>
      <c r="R115" t="str">
        <f>TEXT(Scaleflow[[#This Row],[TransactionDate]],"MMM")</f>
        <v>Dec</v>
      </c>
    </row>
    <row r="116" spans="1:18" x14ac:dyDescent="0.3">
      <c r="A116" t="s">
        <v>150</v>
      </c>
      <c r="B116" s="1">
        <v>45044</v>
      </c>
      <c r="C116" s="1">
        <v>45497</v>
      </c>
      <c r="D116" t="s">
        <v>24</v>
      </c>
      <c r="E116" t="s">
        <v>21</v>
      </c>
      <c r="F116" t="s">
        <v>46</v>
      </c>
      <c r="G116" s="2">
        <v>40611</v>
      </c>
      <c r="H116" t="s">
        <v>22</v>
      </c>
      <c r="I116" t="s">
        <v>42</v>
      </c>
      <c r="J116">
        <v>4</v>
      </c>
      <c r="K116" t="s">
        <v>17</v>
      </c>
      <c r="L116" t="s">
        <v>18</v>
      </c>
      <c r="M116">
        <f>YEAR(Scaleflow[[#This Row],[Signup_Date]])</f>
        <v>2023</v>
      </c>
      <c r="N116" t="str">
        <f>TEXT(Scaleflow[[#This Row],[Signup_Date]],"MMM")</f>
        <v>Apr</v>
      </c>
      <c r="O116" t="str">
        <f>IF(Scaleflow[[#This Row],[Monthly_Revenue]]=0,"Free","Paid")</f>
        <v>Paid</v>
      </c>
      <c r="P116">
        <f>YEAR(Scaleflow[[#This Row],[TransactionDate]])</f>
        <v>2024</v>
      </c>
      <c r="Q116">
        <f>MONTH(Scaleflow[[#This Row],[TransactionDate]])</f>
        <v>7</v>
      </c>
      <c r="R116" t="str">
        <f>TEXT(Scaleflow[[#This Row],[TransactionDate]],"MMM")</f>
        <v>Jul</v>
      </c>
    </row>
    <row r="117" spans="1:18" x14ac:dyDescent="0.3">
      <c r="A117" t="s">
        <v>151</v>
      </c>
      <c r="B117" s="1">
        <v>45028</v>
      </c>
      <c r="C117" s="1">
        <v>45751</v>
      </c>
      <c r="D117" t="s">
        <v>20</v>
      </c>
      <c r="E117" t="s">
        <v>13</v>
      </c>
      <c r="F117" t="s">
        <v>12</v>
      </c>
      <c r="G117" s="2">
        <v>167751</v>
      </c>
      <c r="H117" t="s">
        <v>22</v>
      </c>
      <c r="I117" t="s">
        <v>16</v>
      </c>
      <c r="J117">
        <v>2</v>
      </c>
      <c r="K117" t="s">
        <v>18</v>
      </c>
      <c r="L117" t="s">
        <v>17</v>
      </c>
      <c r="M117">
        <f>YEAR(Scaleflow[[#This Row],[Signup_Date]])</f>
        <v>2023</v>
      </c>
      <c r="N117" t="str">
        <f>TEXT(Scaleflow[[#This Row],[Signup_Date]],"MMM")</f>
        <v>Apr</v>
      </c>
      <c r="O117" t="str">
        <f>IF(Scaleflow[[#This Row],[Monthly_Revenue]]=0,"Free","Paid")</f>
        <v>Paid</v>
      </c>
      <c r="P117">
        <f>YEAR(Scaleflow[[#This Row],[TransactionDate]])</f>
        <v>2025</v>
      </c>
      <c r="Q117">
        <f>MONTH(Scaleflow[[#This Row],[TransactionDate]])</f>
        <v>4</v>
      </c>
      <c r="R117" t="str">
        <f>TEXT(Scaleflow[[#This Row],[TransactionDate]],"MMM")</f>
        <v>Apr</v>
      </c>
    </row>
    <row r="118" spans="1:18" x14ac:dyDescent="0.3">
      <c r="A118" t="s">
        <v>152</v>
      </c>
      <c r="B118" s="1">
        <v>45710</v>
      </c>
      <c r="C118" s="1">
        <v>45720</v>
      </c>
      <c r="D118" t="s">
        <v>20</v>
      </c>
      <c r="E118" t="s">
        <v>41</v>
      </c>
      <c r="F118" t="s">
        <v>46</v>
      </c>
      <c r="G118" s="2">
        <v>49229</v>
      </c>
      <c r="H118" t="s">
        <v>30</v>
      </c>
      <c r="I118" t="s">
        <v>36</v>
      </c>
      <c r="J118">
        <v>5</v>
      </c>
      <c r="K118" t="s">
        <v>18</v>
      </c>
      <c r="L118" t="s">
        <v>17</v>
      </c>
      <c r="M118">
        <f>YEAR(Scaleflow[[#This Row],[Signup_Date]])</f>
        <v>2025</v>
      </c>
      <c r="N118" t="str">
        <f>TEXT(Scaleflow[[#This Row],[Signup_Date]],"MMM")</f>
        <v>Feb</v>
      </c>
      <c r="O118" t="str">
        <f>IF(Scaleflow[[#This Row],[Monthly_Revenue]]=0,"Free","Paid")</f>
        <v>Paid</v>
      </c>
      <c r="P118">
        <f>YEAR(Scaleflow[[#This Row],[TransactionDate]])</f>
        <v>2025</v>
      </c>
      <c r="Q118">
        <f>MONTH(Scaleflow[[#This Row],[TransactionDate]])</f>
        <v>3</v>
      </c>
      <c r="R118" t="str">
        <f>TEXT(Scaleflow[[#This Row],[TransactionDate]],"MMM")</f>
        <v>Mar</v>
      </c>
    </row>
    <row r="119" spans="1:18" x14ac:dyDescent="0.3">
      <c r="A119" t="s">
        <v>153</v>
      </c>
      <c r="B119" s="1">
        <v>45154</v>
      </c>
      <c r="C119" s="1">
        <v>45966</v>
      </c>
      <c r="D119" t="s">
        <v>12</v>
      </c>
      <c r="E119" t="s">
        <v>21</v>
      </c>
      <c r="F119" t="s">
        <v>46</v>
      </c>
      <c r="G119" s="2">
        <v>40548</v>
      </c>
      <c r="H119" t="s">
        <v>26</v>
      </c>
      <c r="I119" t="s">
        <v>36</v>
      </c>
      <c r="J119">
        <v>2</v>
      </c>
      <c r="K119" t="s">
        <v>18</v>
      </c>
      <c r="L119" t="s">
        <v>17</v>
      </c>
      <c r="M119">
        <f>YEAR(Scaleflow[[#This Row],[Signup_Date]])</f>
        <v>2023</v>
      </c>
      <c r="N119" t="str">
        <f>TEXT(Scaleflow[[#This Row],[Signup_Date]],"MMM")</f>
        <v>Aug</v>
      </c>
      <c r="O119" t="str">
        <f>IF(Scaleflow[[#This Row],[Monthly_Revenue]]=0,"Free","Paid")</f>
        <v>Paid</v>
      </c>
      <c r="P119">
        <f>YEAR(Scaleflow[[#This Row],[TransactionDate]])</f>
        <v>2025</v>
      </c>
      <c r="Q119">
        <f>MONTH(Scaleflow[[#This Row],[TransactionDate]])</f>
        <v>11</v>
      </c>
      <c r="R119" t="str">
        <f>TEXT(Scaleflow[[#This Row],[TransactionDate]],"MMM")</f>
        <v>Nov</v>
      </c>
    </row>
    <row r="120" spans="1:18" x14ac:dyDescent="0.3">
      <c r="A120" t="s">
        <v>154</v>
      </c>
      <c r="B120" s="1">
        <v>45124</v>
      </c>
      <c r="C120" s="1">
        <v>45623</v>
      </c>
      <c r="D120" t="s">
        <v>24</v>
      </c>
      <c r="E120" t="s">
        <v>33</v>
      </c>
      <c r="F120" t="s">
        <v>12</v>
      </c>
      <c r="G120" s="2">
        <v>140557</v>
      </c>
      <c r="H120" t="s">
        <v>22</v>
      </c>
      <c r="I120" t="s">
        <v>36</v>
      </c>
      <c r="J120">
        <v>2</v>
      </c>
      <c r="K120" t="s">
        <v>18</v>
      </c>
      <c r="L120" t="s">
        <v>17</v>
      </c>
      <c r="M120">
        <f>YEAR(Scaleflow[[#This Row],[Signup_Date]])</f>
        <v>2023</v>
      </c>
      <c r="N120" t="str">
        <f>TEXT(Scaleflow[[#This Row],[Signup_Date]],"MMM")</f>
        <v>Jul</v>
      </c>
      <c r="O120" t="str">
        <f>IF(Scaleflow[[#This Row],[Monthly_Revenue]]=0,"Free","Paid")</f>
        <v>Paid</v>
      </c>
      <c r="P120">
        <f>YEAR(Scaleflow[[#This Row],[TransactionDate]])</f>
        <v>2024</v>
      </c>
      <c r="Q120">
        <f>MONTH(Scaleflow[[#This Row],[TransactionDate]])</f>
        <v>11</v>
      </c>
      <c r="R120" t="str">
        <f>TEXT(Scaleflow[[#This Row],[TransactionDate]],"MMM")</f>
        <v>Nov</v>
      </c>
    </row>
    <row r="121" spans="1:18" x14ac:dyDescent="0.3">
      <c r="A121" t="s">
        <v>155</v>
      </c>
      <c r="B121" s="1">
        <v>45494</v>
      </c>
      <c r="C121" s="1">
        <v>45907</v>
      </c>
      <c r="D121" t="s">
        <v>20</v>
      </c>
      <c r="E121" t="s">
        <v>39</v>
      </c>
      <c r="F121" t="s">
        <v>14</v>
      </c>
      <c r="G121" s="2">
        <v>0</v>
      </c>
      <c r="H121" t="s">
        <v>22</v>
      </c>
      <c r="I121" t="s">
        <v>42</v>
      </c>
      <c r="J121">
        <v>4</v>
      </c>
      <c r="K121" t="s">
        <v>18</v>
      </c>
      <c r="L121" t="s">
        <v>17</v>
      </c>
      <c r="M121">
        <f>YEAR(Scaleflow[[#This Row],[Signup_Date]])</f>
        <v>2024</v>
      </c>
      <c r="N121" t="str">
        <f>TEXT(Scaleflow[[#This Row],[Signup_Date]],"MMM")</f>
        <v>Jul</v>
      </c>
      <c r="O121" t="str">
        <f>IF(Scaleflow[[#This Row],[Monthly_Revenue]]=0,"Free","Paid")</f>
        <v>Free</v>
      </c>
      <c r="P121">
        <f>YEAR(Scaleflow[[#This Row],[TransactionDate]])</f>
        <v>2025</v>
      </c>
      <c r="Q121">
        <f>MONTH(Scaleflow[[#This Row],[TransactionDate]])</f>
        <v>9</v>
      </c>
      <c r="R121" t="str">
        <f>TEXT(Scaleflow[[#This Row],[TransactionDate]],"MMM")</f>
        <v>Sep</v>
      </c>
    </row>
    <row r="122" spans="1:18" x14ac:dyDescent="0.3">
      <c r="A122" t="s">
        <v>156</v>
      </c>
      <c r="B122" s="1">
        <v>45586</v>
      </c>
      <c r="C122" s="1">
        <v>45872</v>
      </c>
      <c r="D122" t="s">
        <v>24</v>
      </c>
      <c r="E122" t="s">
        <v>21</v>
      </c>
      <c r="F122" t="s">
        <v>12</v>
      </c>
      <c r="G122" s="2">
        <v>119912</v>
      </c>
      <c r="H122" t="s">
        <v>22</v>
      </c>
      <c r="I122" t="s">
        <v>16</v>
      </c>
      <c r="J122">
        <v>2</v>
      </c>
      <c r="K122" t="s">
        <v>18</v>
      </c>
      <c r="L122" t="s">
        <v>17</v>
      </c>
      <c r="M122">
        <f>YEAR(Scaleflow[[#This Row],[Signup_Date]])</f>
        <v>2024</v>
      </c>
      <c r="N122" t="str">
        <f>TEXT(Scaleflow[[#This Row],[Signup_Date]],"MMM")</f>
        <v>Oct</v>
      </c>
      <c r="O122" t="str">
        <f>IF(Scaleflow[[#This Row],[Monthly_Revenue]]=0,"Free","Paid")</f>
        <v>Paid</v>
      </c>
      <c r="P122">
        <f>YEAR(Scaleflow[[#This Row],[TransactionDate]])</f>
        <v>2025</v>
      </c>
      <c r="Q122">
        <f>MONTH(Scaleflow[[#This Row],[TransactionDate]])</f>
        <v>8</v>
      </c>
      <c r="R122" t="str">
        <f>TEXT(Scaleflow[[#This Row],[TransactionDate]],"MMM")</f>
        <v>Aug</v>
      </c>
    </row>
    <row r="123" spans="1:18" x14ac:dyDescent="0.3">
      <c r="A123" t="s">
        <v>157</v>
      </c>
      <c r="B123" s="1">
        <v>45025</v>
      </c>
      <c r="C123" s="1">
        <v>45951</v>
      </c>
      <c r="D123" t="s">
        <v>20</v>
      </c>
      <c r="E123" t="s">
        <v>13</v>
      </c>
      <c r="F123" t="s">
        <v>12</v>
      </c>
      <c r="G123" s="2">
        <v>139675</v>
      </c>
      <c r="H123" t="s">
        <v>30</v>
      </c>
      <c r="I123" t="s">
        <v>27</v>
      </c>
      <c r="J123">
        <v>0</v>
      </c>
      <c r="K123" t="s">
        <v>18</v>
      </c>
      <c r="L123" t="s">
        <v>17</v>
      </c>
      <c r="M123">
        <f>YEAR(Scaleflow[[#This Row],[Signup_Date]])</f>
        <v>2023</v>
      </c>
      <c r="N123" t="str">
        <f>TEXT(Scaleflow[[#This Row],[Signup_Date]],"MMM")</f>
        <v>Apr</v>
      </c>
      <c r="O123" t="str">
        <f>IF(Scaleflow[[#This Row],[Monthly_Revenue]]=0,"Free","Paid")</f>
        <v>Paid</v>
      </c>
      <c r="P123">
        <f>YEAR(Scaleflow[[#This Row],[TransactionDate]])</f>
        <v>2025</v>
      </c>
      <c r="Q123">
        <f>MONTH(Scaleflow[[#This Row],[TransactionDate]])</f>
        <v>10</v>
      </c>
      <c r="R123" t="str">
        <f>TEXT(Scaleflow[[#This Row],[TransactionDate]],"MMM")</f>
        <v>Oct</v>
      </c>
    </row>
    <row r="124" spans="1:18" x14ac:dyDescent="0.3">
      <c r="A124" t="s">
        <v>158</v>
      </c>
      <c r="B124" s="1">
        <v>45014</v>
      </c>
      <c r="C124" s="1">
        <v>45506</v>
      </c>
      <c r="D124" t="s">
        <v>24</v>
      </c>
      <c r="E124" t="s">
        <v>41</v>
      </c>
      <c r="F124" t="s">
        <v>14</v>
      </c>
      <c r="G124" s="2">
        <v>0</v>
      </c>
      <c r="H124" t="s">
        <v>22</v>
      </c>
      <c r="I124" t="s">
        <v>27</v>
      </c>
      <c r="J124">
        <v>4</v>
      </c>
      <c r="K124" t="s">
        <v>18</v>
      </c>
      <c r="L124" t="s">
        <v>17</v>
      </c>
      <c r="M124">
        <f>YEAR(Scaleflow[[#This Row],[Signup_Date]])</f>
        <v>2023</v>
      </c>
      <c r="N124" t="str">
        <f>TEXT(Scaleflow[[#This Row],[Signup_Date]],"MMM")</f>
        <v>Mar</v>
      </c>
      <c r="O124" t="str">
        <f>IF(Scaleflow[[#This Row],[Monthly_Revenue]]=0,"Free","Paid")</f>
        <v>Free</v>
      </c>
      <c r="P124">
        <f>YEAR(Scaleflow[[#This Row],[TransactionDate]])</f>
        <v>2024</v>
      </c>
      <c r="Q124">
        <f>MONTH(Scaleflow[[#This Row],[TransactionDate]])</f>
        <v>8</v>
      </c>
      <c r="R124" t="str">
        <f>TEXT(Scaleflow[[#This Row],[TransactionDate]],"MMM")</f>
        <v>Aug</v>
      </c>
    </row>
    <row r="125" spans="1:18" x14ac:dyDescent="0.3">
      <c r="A125" t="s">
        <v>159</v>
      </c>
      <c r="B125" s="1">
        <v>45872</v>
      </c>
      <c r="C125" s="1">
        <v>45912</v>
      </c>
      <c r="D125" t="s">
        <v>20</v>
      </c>
      <c r="E125" t="s">
        <v>13</v>
      </c>
      <c r="F125" t="s">
        <v>12</v>
      </c>
      <c r="G125" s="2">
        <v>111026</v>
      </c>
      <c r="H125" t="s">
        <v>22</v>
      </c>
      <c r="I125" t="s">
        <v>36</v>
      </c>
      <c r="J125">
        <v>0</v>
      </c>
      <c r="K125" t="s">
        <v>18</v>
      </c>
      <c r="L125" t="s">
        <v>17</v>
      </c>
      <c r="M125">
        <f>YEAR(Scaleflow[[#This Row],[Signup_Date]])</f>
        <v>2025</v>
      </c>
      <c r="N125" t="str">
        <f>TEXT(Scaleflow[[#This Row],[Signup_Date]],"MMM")</f>
        <v>Aug</v>
      </c>
      <c r="O125" t="str">
        <f>IF(Scaleflow[[#This Row],[Monthly_Revenue]]=0,"Free","Paid")</f>
        <v>Paid</v>
      </c>
      <c r="P125">
        <f>YEAR(Scaleflow[[#This Row],[TransactionDate]])</f>
        <v>2025</v>
      </c>
      <c r="Q125">
        <f>MONTH(Scaleflow[[#This Row],[TransactionDate]])</f>
        <v>9</v>
      </c>
      <c r="R125" t="str">
        <f>TEXT(Scaleflow[[#This Row],[TransactionDate]],"MMM")</f>
        <v>Sep</v>
      </c>
    </row>
    <row r="126" spans="1:18" x14ac:dyDescent="0.3">
      <c r="A126" t="s">
        <v>160</v>
      </c>
      <c r="B126" s="1">
        <v>45398</v>
      </c>
      <c r="C126" s="1">
        <v>45425</v>
      </c>
      <c r="D126" t="s">
        <v>12</v>
      </c>
      <c r="E126" t="s">
        <v>33</v>
      </c>
      <c r="F126" t="s">
        <v>46</v>
      </c>
      <c r="G126" s="2">
        <v>33929</v>
      </c>
      <c r="H126" t="s">
        <v>15</v>
      </c>
      <c r="I126" t="s">
        <v>31</v>
      </c>
      <c r="J126">
        <v>1</v>
      </c>
      <c r="K126" t="s">
        <v>18</v>
      </c>
      <c r="L126" t="s">
        <v>17</v>
      </c>
      <c r="M126">
        <f>YEAR(Scaleflow[[#This Row],[Signup_Date]])</f>
        <v>2024</v>
      </c>
      <c r="N126" t="str">
        <f>TEXT(Scaleflow[[#This Row],[Signup_Date]],"MMM")</f>
        <v>Apr</v>
      </c>
      <c r="O126" t="str">
        <f>IF(Scaleflow[[#This Row],[Monthly_Revenue]]=0,"Free","Paid")</f>
        <v>Paid</v>
      </c>
      <c r="P126">
        <f>YEAR(Scaleflow[[#This Row],[TransactionDate]])</f>
        <v>2024</v>
      </c>
      <c r="Q126">
        <f>MONTH(Scaleflow[[#This Row],[TransactionDate]])</f>
        <v>5</v>
      </c>
      <c r="R126" t="str">
        <f>TEXT(Scaleflow[[#This Row],[TransactionDate]],"MMM")</f>
        <v>May</v>
      </c>
    </row>
    <row r="127" spans="1:18" x14ac:dyDescent="0.3">
      <c r="A127" t="s">
        <v>161</v>
      </c>
      <c r="B127" s="1">
        <v>45895</v>
      </c>
      <c r="C127" s="1">
        <v>45952</v>
      </c>
      <c r="D127" t="s">
        <v>24</v>
      </c>
      <c r="E127" t="s">
        <v>25</v>
      </c>
      <c r="F127" t="s">
        <v>29</v>
      </c>
      <c r="G127" s="2">
        <v>16211</v>
      </c>
      <c r="H127" t="s">
        <v>34</v>
      </c>
      <c r="I127" t="s">
        <v>42</v>
      </c>
      <c r="J127">
        <v>5</v>
      </c>
      <c r="K127" t="s">
        <v>17</v>
      </c>
      <c r="L127" t="s">
        <v>18</v>
      </c>
      <c r="M127">
        <f>YEAR(Scaleflow[[#This Row],[Signup_Date]])</f>
        <v>2025</v>
      </c>
      <c r="N127" t="str">
        <f>TEXT(Scaleflow[[#This Row],[Signup_Date]],"MMM")</f>
        <v>Aug</v>
      </c>
      <c r="O127" t="str">
        <f>IF(Scaleflow[[#This Row],[Monthly_Revenue]]=0,"Free","Paid")</f>
        <v>Paid</v>
      </c>
      <c r="P127">
        <f>YEAR(Scaleflow[[#This Row],[TransactionDate]])</f>
        <v>2025</v>
      </c>
      <c r="Q127">
        <f>MONTH(Scaleflow[[#This Row],[TransactionDate]])</f>
        <v>10</v>
      </c>
      <c r="R127" t="str">
        <f>TEXT(Scaleflow[[#This Row],[TransactionDate]],"MMM")</f>
        <v>Oct</v>
      </c>
    </row>
    <row r="128" spans="1:18" x14ac:dyDescent="0.3">
      <c r="A128" t="s">
        <v>162</v>
      </c>
      <c r="B128" s="1">
        <v>45345</v>
      </c>
      <c r="C128" s="1">
        <v>45854</v>
      </c>
      <c r="D128" t="s">
        <v>12</v>
      </c>
      <c r="E128" t="s">
        <v>21</v>
      </c>
      <c r="F128" t="s">
        <v>46</v>
      </c>
      <c r="G128" s="2">
        <v>28023</v>
      </c>
      <c r="H128" t="s">
        <v>15</v>
      </c>
      <c r="I128" t="s">
        <v>42</v>
      </c>
      <c r="J128">
        <v>0</v>
      </c>
      <c r="K128" t="s">
        <v>18</v>
      </c>
      <c r="L128" t="s">
        <v>17</v>
      </c>
      <c r="M128">
        <f>YEAR(Scaleflow[[#This Row],[Signup_Date]])</f>
        <v>2024</v>
      </c>
      <c r="N128" t="str">
        <f>TEXT(Scaleflow[[#This Row],[Signup_Date]],"MMM")</f>
        <v>Feb</v>
      </c>
      <c r="O128" t="str">
        <f>IF(Scaleflow[[#This Row],[Monthly_Revenue]]=0,"Free","Paid")</f>
        <v>Paid</v>
      </c>
      <c r="P128">
        <f>YEAR(Scaleflow[[#This Row],[TransactionDate]])</f>
        <v>2025</v>
      </c>
      <c r="Q128">
        <f>MONTH(Scaleflow[[#This Row],[TransactionDate]])</f>
        <v>7</v>
      </c>
      <c r="R128" t="str">
        <f>TEXT(Scaleflow[[#This Row],[TransactionDate]],"MMM")</f>
        <v>Jul</v>
      </c>
    </row>
    <row r="129" spans="1:18" x14ac:dyDescent="0.3">
      <c r="A129" t="s">
        <v>163</v>
      </c>
      <c r="B129" s="1">
        <v>45118</v>
      </c>
      <c r="C129" s="1">
        <v>45609</v>
      </c>
      <c r="D129" t="s">
        <v>20</v>
      </c>
      <c r="E129" t="s">
        <v>33</v>
      </c>
      <c r="F129" t="s">
        <v>46</v>
      </c>
      <c r="G129" s="2">
        <v>38035</v>
      </c>
      <c r="H129" t="s">
        <v>15</v>
      </c>
      <c r="I129" t="s">
        <v>31</v>
      </c>
      <c r="J129">
        <v>1</v>
      </c>
      <c r="K129" t="s">
        <v>18</v>
      </c>
      <c r="L129" t="s">
        <v>17</v>
      </c>
      <c r="M129">
        <f>YEAR(Scaleflow[[#This Row],[Signup_Date]])</f>
        <v>2023</v>
      </c>
      <c r="N129" t="str">
        <f>TEXT(Scaleflow[[#This Row],[Signup_Date]],"MMM")</f>
        <v>Jul</v>
      </c>
      <c r="O129" t="str">
        <f>IF(Scaleflow[[#This Row],[Monthly_Revenue]]=0,"Free","Paid")</f>
        <v>Paid</v>
      </c>
      <c r="P129">
        <f>YEAR(Scaleflow[[#This Row],[TransactionDate]])</f>
        <v>2024</v>
      </c>
      <c r="Q129">
        <f>MONTH(Scaleflow[[#This Row],[TransactionDate]])</f>
        <v>11</v>
      </c>
      <c r="R129" t="str">
        <f>TEXT(Scaleflow[[#This Row],[TransactionDate]],"MMM")</f>
        <v>Nov</v>
      </c>
    </row>
    <row r="130" spans="1:18" x14ac:dyDescent="0.3">
      <c r="A130" t="s">
        <v>164</v>
      </c>
      <c r="B130" s="1">
        <v>45033</v>
      </c>
      <c r="C130" s="1">
        <v>45849</v>
      </c>
      <c r="D130" t="s">
        <v>24</v>
      </c>
      <c r="E130" t="s">
        <v>33</v>
      </c>
      <c r="F130" t="s">
        <v>12</v>
      </c>
      <c r="G130" s="2">
        <v>154272</v>
      </c>
      <c r="H130" t="s">
        <v>26</v>
      </c>
      <c r="I130" t="s">
        <v>42</v>
      </c>
      <c r="J130">
        <v>1</v>
      </c>
      <c r="K130" t="s">
        <v>17</v>
      </c>
      <c r="L130" t="s">
        <v>18</v>
      </c>
      <c r="M130">
        <f>YEAR(Scaleflow[[#This Row],[Signup_Date]])</f>
        <v>2023</v>
      </c>
      <c r="N130" t="str">
        <f>TEXT(Scaleflow[[#This Row],[Signup_Date]],"MMM")</f>
        <v>Apr</v>
      </c>
      <c r="O130" t="str">
        <f>IF(Scaleflow[[#This Row],[Monthly_Revenue]]=0,"Free","Paid")</f>
        <v>Paid</v>
      </c>
      <c r="P130">
        <f>YEAR(Scaleflow[[#This Row],[TransactionDate]])</f>
        <v>2025</v>
      </c>
      <c r="Q130">
        <f>MONTH(Scaleflow[[#This Row],[TransactionDate]])</f>
        <v>7</v>
      </c>
      <c r="R130" t="str">
        <f>TEXT(Scaleflow[[#This Row],[TransactionDate]],"MMM")</f>
        <v>Jul</v>
      </c>
    </row>
    <row r="131" spans="1:18" x14ac:dyDescent="0.3">
      <c r="A131" t="s">
        <v>165</v>
      </c>
      <c r="B131" s="1">
        <v>45799</v>
      </c>
      <c r="C131" s="1">
        <v>45923</v>
      </c>
      <c r="D131" t="s">
        <v>20</v>
      </c>
      <c r="E131" t="s">
        <v>21</v>
      </c>
      <c r="F131" t="s">
        <v>46</v>
      </c>
      <c r="G131" s="2">
        <v>28865</v>
      </c>
      <c r="H131" t="s">
        <v>30</v>
      </c>
      <c r="I131" t="s">
        <v>16</v>
      </c>
      <c r="J131">
        <v>1</v>
      </c>
      <c r="K131" t="s">
        <v>18</v>
      </c>
      <c r="L131" t="s">
        <v>17</v>
      </c>
      <c r="M131">
        <f>YEAR(Scaleflow[[#This Row],[Signup_Date]])</f>
        <v>2025</v>
      </c>
      <c r="N131" t="str">
        <f>TEXT(Scaleflow[[#This Row],[Signup_Date]],"MMM")</f>
        <v>May</v>
      </c>
      <c r="O131" t="str">
        <f>IF(Scaleflow[[#This Row],[Monthly_Revenue]]=0,"Free","Paid")</f>
        <v>Paid</v>
      </c>
      <c r="P131">
        <f>YEAR(Scaleflow[[#This Row],[TransactionDate]])</f>
        <v>2025</v>
      </c>
      <c r="Q131">
        <f>MONTH(Scaleflow[[#This Row],[TransactionDate]])</f>
        <v>9</v>
      </c>
      <c r="R131" t="str">
        <f>TEXT(Scaleflow[[#This Row],[TransactionDate]],"MMM")</f>
        <v>Sep</v>
      </c>
    </row>
    <row r="132" spans="1:18" x14ac:dyDescent="0.3">
      <c r="A132" t="s">
        <v>166</v>
      </c>
      <c r="B132" s="1">
        <v>44969</v>
      </c>
      <c r="C132" s="1">
        <v>45648</v>
      </c>
      <c r="D132" t="s">
        <v>12</v>
      </c>
      <c r="E132" t="s">
        <v>39</v>
      </c>
      <c r="F132" t="s">
        <v>12</v>
      </c>
      <c r="G132" s="2">
        <v>116666</v>
      </c>
      <c r="H132" t="s">
        <v>49</v>
      </c>
      <c r="I132" t="s">
        <v>36</v>
      </c>
      <c r="J132">
        <v>4</v>
      </c>
      <c r="K132" t="s">
        <v>18</v>
      </c>
      <c r="L132" t="s">
        <v>17</v>
      </c>
      <c r="M132">
        <f>YEAR(Scaleflow[[#This Row],[Signup_Date]])</f>
        <v>2023</v>
      </c>
      <c r="N132" t="str">
        <f>TEXT(Scaleflow[[#This Row],[Signup_Date]],"MMM")</f>
        <v>Feb</v>
      </c>
      <c r="O132" t="str">
        <f>IF(Scaleflow[[#This Row],[Monthly_Revenue]]=0,"Free","Paid")</f>
        <v>Paid</v>
      </c>
      <c r="P132">
        <f>YEAR(Scaleflow[[#This Row],[TransactionDate]])</f>
        <v>2024</v>
      </c>
      <c r="Q132">
        <f>MONTH(Scaleflow[[#This Row],[TransactionDate]])</f>
        <v>12</v>
      </c>
      <c r="R132" t="str">
        <f>TEXT(Scaleflow[[#This Row],[TransactionDate]],"MMM")</f>
        <v>Dec</v>
      </c>
    </row>
    <row r="133" spans="1:18" x14ac:dyDescent="0.3">
      <c r="A133" t="s">
        <v>167</v>
      </c>
      <c r="B133" s="1">
        <v>45560</v>
      </c>
      <c r="C133" s="1">
        <v>45892</v>
      </c>
      <c r="D133" t="s">
        <v>12</v>
      </c>
      <c r="E133" t="s">
        <v>21</v>
      </c>
      <c r="F133" t="s">
        <v>14</v>
      </c>
      <c r="G133" s="2">
        <v>0</v>
      </c>
      <c r="H133" t="s">
        <v>30</v>
      </c>
      <c r="I133" t="s">
        <v>16</v>
      </c>
      <c r="J133">
        <v>1</v>
      </c>
      <c r="K133" t="s">
        <v>17</v>
      </c>
      <c r="L133" t="s">
        <v>18</v>
      </c>
      <c r="M133">
        <f>YEAR(Scaleflow[[#This Row],[Signup_Date]])</f>
        <v>2024</v>
      </c>
      <c r="N133" t="str">
        <f>TEXT(Scaleflow[[#This Row],[Signup_Date]],"MMM")</f>
        <v>Sep</v>
      </c>
      <c r="O133" t="str">
        <f>IF(Scaleflow[[#This Row],[Monthly_Revenue]]=0,"Free","Paid")</f>
        <v>Free</v>
      </c>
      <c r="P133">
        <f>YEAR(Scaleflow[[#This Row],[TransactionDate]])</f>
        <v>2025</v>
      </c>
      <c r="Q133">
        <f>MONTH(Scaleflow[[#This Row],[TransactionDate]])</f>
        <v>8</v>
      </c>
      <c r="R133" t="str">
        <f>TEXT(Scaleflow[[#This Row],[TransactionDate]],"MMM")</f>
        <v>Aug</v>
      </c>
    </row>
    <row r="134" spans="1:18" x14ac:dyDescent="0.3">
      <c r="A134" t="s">
        <v>168</v>
      </c>
      <c r="B134" s="1">
        <v>45205</v>
      </c>
      <c r="C134" s="1">
        <v>45803</v>
      </c>
      <c r="D134" t="s">
        <v>20</v>
      </c>
      <c r="E134" t="s">
        <v>13</v>
      </c>
      <c r="F134" t="s">
        <v>29</v>
      </c>
      <c r="G134" s="2">
        <v>17425</v>
      </c>
      <c r="H134" t="s">
        <v>34</v>
      </c>
      <c r="I134" t="s">
        <v>27</v>
      </c>
      <c r="J134">
        <v>2</v>
      </c>
      <c r="K134" t="s">
        <v>18</v>
      </c>
      <c r="L134" t="s">
        <v>17</v>
      </c>
      <c r="M134">
        <f>YEAR(Scaleflow[[#This Row],[Signup_Date]])</f>
        <v>2023</v>
      </c>
      <c r="N134" t="str">
        <f>TEXT(Scaleflow[[#This Row],[Signup_Date]],"MMM")</f>
        <v>Oct</v>
      </c>
      <c r="O134" t="str">
        <f>IF(Scaleflow[[#This Row],[Monthly_Revenue]]=0,"Free","Paid")</f>
        <v>Paid</v>
      </c>
      <c r="P134">
        <f>YEAR(Scaleflow[[#This Row],[TransactionDate]])</f>
        <v>2025</v>
      </c>
      <c r="Q134">
        <f>MONTH(Scaleflow[[#This Row],[TransactionDate]])</f>
        <v>5</v>
      </c>
      <c r="R134" t="str">
        <f>TEXT(Scaleflow[[#This Row],[TransactionDate]],"MMM")</f>
        <v>May</v>
      </c>
    </row>
    <row r="135" spans="1:18" x14ac:dyDescent="0.3">
      <c r="A135" t="s">
        <v>169</v>
      </c>
      <c r="B135" s="1">
        <v>45569</v>
      </c>
      <c r="C135" s="1">
        <v>45828</v>
      </c>
      <c r="D135" t="s">
        <v>24</v>
      </c>
      <c r="E135" t="s">
        <v>21</v>
      </c>
      <c r="F135" t="s">
        <v>29</v>
      </c>
      <c r="G135" s="2">
        <v>16326</v>
      </c>
      <c r="H135" t="s">
        <v>49</v>
      </c>
      <c r="I135" t="s">
        <v>27</v>
      </c>
      <c r="J135">
        <v>2</v>
      </c>
      <c r="K135" t="s">
        <v>18</v>
      </c>
      <c r="L135" t="s">
        <v>17</v>
      </c>
      <c r="M135">
        <f>YEAR(Scaleflow[[#This Row],[Signup_Date]])</f>
        <v>2024</v>
      </c>
      <c r="N135" t="str">
        <f>TEXT(Scaleflow[[#This Row],[Signup_Date]],"MMM")</f>
        <v>Oct</v>
      </c>
      <c r="O135" t="str">
        <f>IF(Scaleflow[[#This Row],[Monthly_Revenue]]=0,"Free","Paid")</f>
        <v>Paid</v>
      </c>
      <c r="P135">
        <f>YEAR(Scaleflow[[#This Row],[TransactionDate]])</f>
        <v>2025</v>
      </c>
      <c r="Q135">
        <f>MONTH(Scaleflow[[#This Row],[TransactionDate]])</f>
        <v>6</v>
      </c>
      <c r="R135" t="str">
        <f>TEXT(Scaleflow[[#This Row],[TransactionDate]],"MMM")</f>
        <v>Jun</v>
      </c>
    </row>
    <row r="136" spans="1:18" x14ac:dyDescent="0.3">
      <c r="A136" t="s">
        <v>170</v>
      </c>
      <c r="B136" s="1">
        <v>45641</v>
      </c>
      <c r="C136" s="1">
        <v>45725</v>
      </c>
      <c r="D136" t="s">
        <v>20</v>
      </c>
      <c r="E136" t="s">
        <v>39</v>
      </c>
      <c r="F136" t="s">
        <v>29</v>
      </c>
      <c r="G136" s="2">
        <v>15895</v>
      </c>
      <c r="H136" t="s">
        <v>22</v>
      </c>
      <c r="I136" t="s">
        <v>27</v>
      </c>
      <c r="J136">
        <v>3</v>
      </c>
      <c r="K136" t="s">
        <v>18</v>
      </c>
      <c r="L136" t="s">
        <v>17</v>
      </c>
      <c r="M136">
        <f>YEAR(Scaleflow[[#This Row],[Signup_Date]])</f>
        <v>2024</v>
      </c>
      <c r="N136" t="str">
        <f>TEXT(Scaleflow[[#This Row],[Signup_Date]],"MMM")</f>
        <v>Dec</v>
      </c>
      <c r="O136" t="str">
        <f>IF(Scaleflow[[#This Row],[Monthly_Revenue]]=0,"Free","Paid")</f>
        <v>Paid</v>
      </c>
      <c r="P136">
        <f>YEAR(Scaleflow[[#This Row],[TransactionDate]])</f>
        <v>2025</v>
      </c>
      <c r="Q136">
        <f>MONTH(Scaleflow[[#This Row],[TransactionDate]])</f>
        <v>3</v>
      </c>
      <c r="R136" t="str">
        <f>TEXT(Scaleflow[[#This Row],[TransactionDate]],"MMM")</f>
        <v>Mar</v>
      </c>
    </row>
    <row r="137" spans="1:18" x14ac:dyDescent="0.3">
      <c r="A137" t="s">
        <v>171</v>
      </c>
      <c r="B137" s="1">
        <v>45561</v>
      </c>
      <c r="C137" s="1">
        <v>45941</v>
      </c>
      <c r="D137" t="s">
        <v>12</v>
      </c>
      <c r="E137" t="s">
        <v>39</v>
      </c>
      <c r="F137" t="s">
        <v>29</v>
      </c>
      <c r="G137" s="2">
        <v>16589</v>
      </c>
      <c r="H137" t="s">
        <v>49</v>
      </c>
      <c r="I137" t="s">
        <v>36</v>
      </c>
      <c r="J137">
        <v>4</v>
      </c>
      <c r="K137" t="s">
        <v>17</v>
      </c>
      <c r="L137" t="s">
        <v>18</v>
      </c>
      <c r="M137">
        <f>YEAR(Scaleflow[[#This Row],[Signup_Date]])</f>
        <v>2024</v>
      </c>
      <c r="N137" t="str">
        <f>TEXT(Scaleflow[[#This Row],[Signup_Date]],"MMM")</f>
        <v>Sep</v>
      </c>
      <c r="O137" t="str">
        <f>IF(Scaleflow[[#This Row],[Monthly_Revenue]]=0,"Free","Paid")</f>
        <v>Paid</v>
      </c>
      <c r="P137">
        <f>YEAR(Scaleflow[[#This Row],[TransactionDate]])</f>
        <v>2025</v>
      </c>
      <c r="Q137">
        <f>MONTH(Scaleflow[[#This Row],[TransactionDate]])</f>
        <v>10</v>
      </c>
      <c r="R137" t="str">
        <f>TEXT(Scaleflow[[#This Row],[TransactionDate]],"MMM")</f>
        <v>Oct</v>
      </c>
    </row>
    <row r="138" spans="1:18" x14ac:dyDescent="0.3">
      <c r="A138" t="s">
        <v>172</v>
      </c>
      <c r="B138" s="1">
        <v>45425</v>
      </c>
      <c r="C138" s="1">
        <v>45686</v>
      </c>
      <c r="D138" t="s">
        <v>20</v>
      </c>
      <c r="E138" t="s">
        <v>41</v>
      </c>
      <c r="F138" t="s">
        <v>12</v>
      </c>
      <c r="G138" s="2">
        <v>171482</v>
      </c>
      <c r="H138" t="s">
        <v>15</v>
      </c>
      <c r="I138" t="s">
        <v>36</v>
      </c>
      <c r="J138">
        <v>0</v>
      </c>
      <c r="K138" t="s">
        <v>17</v>
      </c>
      <c r="L138" t="s">
        <v>18</v>
      </c>
      <c r="M138">
        <f>YEAR(Scaleflow[[#This Row],[Signup_Date]])</f>
        <v>2024</v>
      </c>
      <c r="N138" t="str">
        <f>TEXT(Scaleflow[[#This Row],[Signup_Date]],"MMM")</f>
        <v>May</v>
      </c>
      <c r="O138" t="str">
        <f>IF(Scaleflow[[#This Row],[Monthly_Revenue]]=0,"Free","Paid")</f>
        <v>Paid</v>
      </c>
      <c r="P138">
        <f>YEAR(Scaleflow[[#This Row],[TransactionDate]])</f>
        <v>2025</v>
      </c>
      <c r="Q138">
        <f>MONTH(Scaleflow[[#This Row],[TransactionDate]])</f>
        <v>1</v>
      </c>
      <c r="R138" t="str">
        <f>TEXT(Scaleflow[[#This Row],[TransactionDate]],"MMM")</f>
        <v>Jan</v>
      </c>
    </row>
    <row r="139" spans="1:18" x14ac:dyDescent="0.3">
      <c r="A139" t="s">
        <v>173</v>
      </c>
      <c r="B139" s="1">
        <v>45558</v>
      </c>
      <c r="C139" s="1">
        <v>45578</v>
      </c>
      <c r="D139" t="s">
        <v>20</v>
      </c>
      <c r="E139" t="s">
        <v>21</v>
      </c>
      <c r="F139" t="s">
        <v>12</v>
      </c>
      <c r="G139" s="2">
        <v>202405</v>
      </c>
      <c r="H139" t="s">
        <v>15</v>
      </c>
      <c r="I139" t="s">
        <v>16</v>
      </c>
      <c r="J139">
        <v>1</v>
      </c>
      <c r="K139" t="s">
        <v>17</v>
      </c>
      <c r="L139" t="s">
        <v>18</v>
      </c>
      <c r="M139">
        <f>YEAR(Scaleflow[[#This Row],[Signup_Date]])</f>
        <v>2024</v>
      </c>
      <c r="N139" t="str">
        <f>TEXT(Scaleflow[[#This Row],[Signup_Date]],"MMM")</f>
        <v>Sep</v>
      </c>
      <c r="O139" t="str">
        <f>IF(Scaleflow[[#This Row],[Monthly_Revenue]]=0,"Free","Paid")</f>
        <v>Paid</v>
      </c>
      <c r="P139">
        <f>YEAR(Scaleflow[[#This Row],[TransactionDate]])</f>
        <v>2024</v>
      </c>
      <c r="Q139">
        <f>MONTH(Scaleflow[[#This Row],[TransactionDate]])</f>
        <v>10</v>
      </c>
      <c r="R139" t="str">
        <f>TEXT(Scaleflow[[#This Row],[TransactionDate]],"MMM")</f>
        <v>Oct</v>
      </c>
    </row>
    <row r="140" spans="1:18" x14ac:dyDescent="0.3">
      <c r="A140" t="s">
        <v>174</v>
      </c>
      <c r="B140" s="1">
        <v>45255</v>
      </c>
      <c r="C140" s="1">
        <v>45494</v>
      </c>
      <c r="D140" t="s">
        <v>24</v>
      </c>
      <c r="E140" t="s">
        <v>25</v>
      </c>
      <c r="F140" t="s">
        <v>14</v>
      </c>
      <c r="G140" s="2">
        <v>0</v>
      </c>
      <c r="H140" t="s">
        <v>30</v>
      </c>
      <c r="I140" t="s">
        <v>31</v>
      </c>
      <c r="J140">
        <v>0</v>
      </c>
      <c r="K140" t="s">
        <v>18</v>
      </c>
      <c r="L140" t="s">
        <v>17</v>
      </c>
      <c r="M140">
        <f>YEAR(Scaleflow[[#This Row],[Signup_Date]])</f>
        <v>2023</v>
      </c>
      <c r="N140" t="str">
        <f>TEXT(Scaleflow[[#This Row],[Signup_Date]],"MMM")</f>
        <v>Nov</v>
      </c>
      <c r="O140" t="str">
        <f>IF(Scaleflow[[#This Row],[Monthly_Revenue]]=0,"Free","Paid")</f>
        <v>Free</v>
      </c>
      <c r="P140">
        <f>YEAR(Scaleflow[[#This Row],[TransactionDate]])</f>
        <v>2024</v>
      </c>
      <c r="Q140">
        <f>MONTH(Scaleflow[[#This Row],[TransactionDate]])</f>
        <v>7</v>
      </c>
      <c r="R140" t="str">
        <f>TEXT(Scaleflow[[#This Row],[TransactionDate]],"MMM")</f>
        <v>Jul</v>
      </c>
    </row>
    <row r="141" spans="1:18" x14ac:dyDescent="0.3">
      <c r="A141" t="s">
        <v>175</v>
      </c>
      <c r="B141" s="1">
        <v>45015</v>
      </c>
      <c r="C141" s="1">
        <v>45285</v>
      </c>
      <c r="D141" t="s">
        <v>12</v>
      </c>
      <c r="E141" t="s">
        <v>33</v>
      </c>
      <c r="F141" t="s">
        <v>29</v>
      </c>
      <c r="G141" s="2">
        <v>17092</v>
      </c>
      <c r="H141" t="s">
        <v>49</v>
      </c>
      <c r="I141" t="s">
        <v>31</v>
      </c>
      <c r="J141">
        <v>3</v>
      </c>
      <c r="K141" t="s">
        <v>18</v>
      </c>
      <c r="L141" t="s">
        <v>17</v>
      </c>
      <c r="M141">
        <f>YEAR(Scaleflow[[#This Row],[Signup_Date]])</f>
        <v>2023</v>
      </c>
      <c r="N141" t="str">
        <f>TEXT(Scaleflow[[#This Row],[Signup_Date]],"MMM")</f>
        <v>Mar</v>
      </c>
      <c r="O141" t="str">
        <f>IF(Scaleflow[[#This Row],[Monthly_Revenue]]=0,"Free","Paid")</f>
        <v>Paid</v>
      </c>
      <c r="P141">
        <f>YEAR(Scaleflow[[#This Row],[TransactionDate]])</f>
        <v>2023</v>
      </c>
      <c r="Q141">
        <f>MONTH(Scaleflow[[#This Row],[TransactionDate]])</f>
        <v>12</v>
      </c>
      <c r="R141" t="str">
        <f>TEXT(Scaleflow[[#This Row],[TransactionDate]],"MMM")</f>
        <v>Dec</v>
      </c>
    </row>
    <row r="142" spans="1:18" x14ac:dyDescent="0.3">
      <c r="A142" t="s">
        <v>176</v>
      </c>
      <c r="B142" s="1">
        <v>45014</v>
      </c>
      <c r="C142" s="1">
        <v>45672</v>
      </c>
      <c r="D142" t="s">
        <v>24</v>
      </c>
      <c r="E142" t="s">
        <v>25</v>
      </c>
      <c r="F142" t="s">
        <v>29</v>
      </c>
      <c r="G142" s="2">
        <v>12004</v>
      </c>
      <c r="H142" t="s">
        <v>22</v>
      </c>
      <c r="I142" t="s">
        <v>42</v>
      </c>
      <c r="J142">
        <v>2</v>
      </c>
      <c r="K142" t="s">
        <v>18</v>
      </c>
      <c r="L142" t="s">
        <v>17</v>
      </c>
      <c r="M142">
        <f>YEAR(Scaleflow[[#This Row],[Signup_Date]])</f>
        <v>2023</v>
      </c>
      <c r="N142" t="str">
        <f>TEXT(Scaleflow[[#This Row],[Signup_Date]],"MMM")</f>
        <v>Mar</v>
      </c>
      <c r="O142" t="str">
        <f>IF(Scaleflow[[#This Row],[Monthly_Revenue]]=0,"Free","Paid")</f>
        <v>Paid</v>
      </c>
      <c r="P142">
        <f>YEAR(Scaleflow[[#This Row],[TransactionDate]])</f>
        <v>2025</v>
      </c>
      <c r="Q142">
        <f>MONTH(Scaleflow[[#This Row],[TransactionDate]])</f>
        <v>1</v>
      </c>
      <c r="R142" t="str">
        <f>TEXT(Scaleflow[[#This Row],[TransactionDate]],"MMM")</f>
        <v>Jan</v>
      </c>
    </row>
    <row r="143" spans="1:18" x14ac:dyDescent="0.3">
      <c r="A143" t="s">
        <v>177</v>
      </c>
      <c r="B143" s="1">
        <v>45674</v>
      </c>
      <c r="C143" s="1">
        <v>45677</v>
      </c>
      <c r="D143" t="s">
        <v>20</v>
      </c>
      <c r="E143" t="s">
        <v>21</v>
      </c>
      <c r="F143" t="s">
        <v>46</v>
      </c>
      <c r="G143" s="2">
        <v>56570</v>
      </c>
      <c r="H143" t="s">
        <v>34</v>
      </c>
      <c r="I143" t="s">
        <v>16</v>
      </c>
      <c r="J143">
        <v>1</v>
      </c>
      <c r="K143" t="s">
        <v>18</v>
      </c>
      <c r="L143" t="s">
        <v>17</v>
      </c>
      <c r="M143">
        <f>YEAR(Scaleflow[[#This Row],[Signup_Date]])</f>
        <v>2025</v>
      </c>
      <c r="N143" t="str">
        <f>TEXT(Scaleflow[[#This Row],[Signup_Date]],"MMM")</f>
        <v>Jan</v>
      </c>
      <c r="O143" t="str">
        <f>IF(Scaleflow[[#This Row],[Monthly_Revenue]]=0,"Free","Paid")</f>
        <v>Paid</v>
      </c>
      <c r="P143">
        <f>YEAR(Scaleflow[[#This Row],[TransactionDate]])</f>
        <v>2025</v>
      </c>
      <c r="Q143">
        <f>MONTH(Scaleflow[[#This Row],[TransactionDate]])</f>
        <v>1</v>
      </c>
      <c r="R143" t="str">
        <f>TEXT(Scaleflow[[#This Row],[TransactionDate]],"MMM")</f>
        <v>Jan</v>
      </c>
    </row>
    <row r="144" spans="1:18" x14ac:dyDescent="0.3">
      <c r="A144" t="s">
        <v>178</v>
      </c>
      <c r="B144" s="1">
        <v>45684</v>
      </c>
      <c r="C144" s="1">
        <v>45807</v>
      </c>
      <c r="D144" t="s">
        <v>24</v>
      </c>
      <c r="E144" t="s">
        <v>33</v>
      </c>
      <c r="F144" t="s">
        <v>46</v>
      </c>
      <c r="G144" s="2">
        <v>55185</v>
      </c>
      <c r="H144" t="s">
        <v>30</v>
      </c>
      <c r="I144" t="s">
        <v>27</v>
      </c>
      <c r="J144">
        <v>1</v>
      </c>
      <c r="K144" t="s">
        <v>18</v>
      </c>
      <c r="L144" t="s">
        <v>17</v>
      </c>
      <c r="M144">
        <f>YEAR(Scaleflow[[#This Row],[Signup_Date]])</f>
        <v>2025</v>
      </c>
      <c r="N144" t="str">
        <f>TEXT(Scaleflow[[#This Row],[Signup_Date]],"MMM")</f>
        <v>Jan</v>
      </c>
      <c r="O144" t="str">
        <f>IF(Scaleflow[[#This Row],[Monthly_Revenue]]=0,"Free","Paid")</f>
        <v>Paid</v>
      </c>
      <c r="P144">
        <f>YEAR(Scaleflow[[#This Row],[TransactionDate]])</f>
        <v>2025</v>
      </c>
      <c r="Q144">
        <f>MONTH(Scaleflow[[#This Row],[TransactionDate]])</f>
        <v>5</v>
      </c>
      <c r="R144" t="str">
        <f>TEXT(Scaleflow[[#This Row],[TransactionDate]],"MMM")</f>
        <v>May</v>
      </c>
    </row>
    <row r="145" spans="1:18" x14ac:dyDescent="0.3">
      <c r="A145" t="s">
        <v>179</v>
      </c>
      <c r="B145" s="1">
        <v>45803</v>
      </c>
      <c r="C145" s="1">
        <v>45968</v>
      </c>
      <c r="D145" t="s">
        <v>20</v>
      </c>
      <c r="E145" t="s">
        <v>21</v>
      </c>
      <c r="F145" t="s">
        <v>12</v>
      </c>
      <c r="G145" s="2">
        <v>245440</v>
      </c>
      <c r="H145" t="s">
        <v>15</v>
      </c>
      <c r="I145" t="s">
        <v>36</v>
      </c>
      <c r="J145">
        <v>5</v>
      </c>
      <c r="K145" t="s">
        <v>17</v>
      </c>
      <c r="L145" t="s">
        <v>18</v>
      </c>
      <c r="M145">
        <f>YEAR(Scaleflow[[#This Row],[Signup_Date]])</f>
        <v>2025</v>
      </c>
      <c r="N145" t="str">
        <f>TEXT(Scaleflow[[#This Row],[Signup_Date]],"MMM")</f>
        <v>May</v>
      </c>
      <c r="O145" t="str">
        <f>IF(Scaleflow[[#This Row],[Monthly_Revenue]]=0,"Free","Paid")</f>
        <v>Paid</v>
      </c>
      <c r="P145">
        <f>YEAR(Scaleflow[[#This Row],[TransactionDate]])</f>
        <v>2025</v>
      </c>
      <c r="Q145">
        <f>MONTH(Scaleflow[[#This Row],[TransactionDate]])</f>
        <v>11</v>
      </c>
      <c r="R145" t="str">
        <f>TEXT(Scaleflow[[#This Row],[TransactionDate]],"MMM")</f>
        <v>Nov</v>
      </c>
    </row>
    <row r="146" spans="1:18" x14ac:dyDescent="0.3">
      <c r="A146" t="s">
        <v>180</v>
      </c>
      <c r="B146" s="1">
        <v>45589</v>
      </c>
      <c r="C146" s="1">
        <v>45772</v>
      </c>
      <c r="D146" t="s">
        <v>12</v>
      </c>
      <c r="E146" t="s">
        <v>39</v>
      </c>
      <c r="F146" t="s">
        <v>29</v>
      </c>
      <c r="G146" s="2">
        <v>8768</v>
      </c>
      <c r="H146" t="s">
        <v>34</v>
      </c>
      <c r="I146" t="s">
        <v>31</v>
      </c>
      <c r="J146">
        <v>4</v>
      </c>
      <c r="K146" t="s">
        <v>18</v>
      </c>
      <c r="L146" t="s">
        <v>17</v>
      </c>
      <c r="M146">
        <f>YEAR(Scaleflow[[#This Row],[Signup_Date]])</f>
        <v>2024</v>
      </c>
      <c r="N146" t="str">
        <f>TEXT(Scaleflow[[#This Row],[Signup_Date]],"MMM")</f>
        <v>Oct</v>
      </c>
      <c r="O146" t="str">
        <f>IF(Scaleflow[[#This Row],[Monthly_Revenue]]=0,"Free","Paid")</f>
        <v>Paid</v>
      </c>
      <c r="P146">
        <f>YEAR(Scaleflow[[#This Row],[TransactionDate]])</f>
        <v>2025</v>
      </c>
      <c r="Q146">
        <f>MONTH(Scaleflow[[#This Row],[TransactionDate]])</f>
        <v>4</v>
      </c>
      <c r="R146" t="str">
        <f>TEXT(Scaleflow[[#This Row],[TransactionDate]],"MMM")</f>
        <v>Apr</v>
      </c>
    </row>
    <row r="147" spans="1:18" x14ac:dyDescent="0.3">
      <c r="A147" t="s">
        <v>181</v>
      </c>
      <c r="B147" s="1">
        <v>45015</v>
      </c>
      <c r="C147" s="1">
        <v>45052</v>
      </c>
      <c r="D147" t="s">
        <v>24</v>
      </c>
      <c r="E147" t="s">
        <v>39</v>
      </c>
      <c r="F147" t="s">
        <v>29</v>
      </c>
      <c r="G147" s="2">
        <v>14883</v>
      </c>
      <c r="H147" t="s">
        <v>22</v>
      </c>
      <c r="I147" t="s">
        <v>36</v>
      </c>
      <c r="J147">
        <v>4</v>
      </c>
      <c r="K147" t="s">
        <v>18</v>
      </c>
      <c r="L147" t="s">
        <v>17</v>
      </c>
      <c r="M147">
        <f>YEAR(Scaleflow[[#This Row],[Signup_Date]])</f>
        <v>2023</v>
      </c>
      <c r="N147" t="str">
        <f>TEXT(Scaleflow[[#This Row],[Signup_Date]],"MMM")</f>
        <v>Mar</v>
      </c>
      <c r="O147" t="str">
        <f>IF(Scaleflow[[#This Row],[Monthly_Revenue]]=0,"Free","Paid")</f>
        <v>Paid</v>
      </c>
      <c r="P147">
        <f>YEAR(Scaleflow[[#This Row],[TransactionDate]])</f>
        <v>2023</v>
      </c>
      <c r="Q147">
        <f>MONTH(Scaleflow[[#This Row],[TransactionDate]])</f>
        <v>5</v>
      </c>
      <c r="R147" t="str">
        <f>TEXT(Scaleflow[[#This Row],[TransactionDate]],"MMM")</f>
        <v>May</v>
      </c>
    </row>
    <row r="148" spans="1:18" x14ac:dyDescent="0.3">
      <c r="A148" t="s">
        <v>182</v>
      </c>
      <c r="B148" s="1">
        <v>45593</v>
      </c>
      <c r="C148" s="1">
        <v>45936</v>
      </c>
      <c r="D148" t="s">
        <v>20</v>
      </c>
      <c r="E148" t="s">
        <v>33</v>
      </c>
      <c r="F148" t="s">
        <v>46</v>
      </c>
      <c r="G148" s="2">
        <v>42852</v>
      </c>
      <c r="H148" t="s">
        <v>30</v>
      </c>
      <c r="I148" t="s">
        <v>31</v>
      </c>
      <c r="J148">
        <v>1</v>
      </c>
      <c r="K148" t="s">
        <v>17</v>
      </c>
      <c r="L148" t="s">
        <v>18</v>
      </c>
      <c r="M148">
        <f>YEAR(Scaleflow[[#This Row],[Signup_Date]])</f>
        <v>2024</v>
      </c>
      <c r="N148" t="str">
        <f>TEXT(Scaleflow[[#This Row],[Signup_Date]],"MMM")</f>
        <v>Oct</v>
      </c>
      <c r="O148" t="str">
        <f>IF(Scaleflow[[#This Row],[Monthly_Revenue]]=0,"Free","Paid")</f>
        <v>Paid</v>
      </c>
      <c r="P148">
        <f>YEAR(Scaleflow[[#This Row],[TransactionDate]])</f>
        <v>2025</v>
      </c>
      <c r="Q148">
        <f>MONTH(Scaleflow[[#This Row],[TransactionDate]])</f>
        <v>10</v>
      </c>
      <c r="R148" t="str">
        <f>TEXT(Scaleflow[[#This Row],[TransactionDate]],"MMM")</f>
        <v>Oct</v>
      </c>
    </row>
    <row r="149" spans="1:18" x14ac:dyDescent="0.3">
      <c r="A149" t="s">
        <v>183</v>
      </c>
      <c r="B149" s="1">
        <v>45266</v>
      </c>
      <c r="C149" s="1">
        <v>45842</v>
      </c>
      <c r="D149" t="s">
        <v>12</v>
      </c>
      <c r="E149" t="s">
        <v>25</v>
      </c>
      <c r="F149" t="s">
        <v>46</v>
      </c>
      <c r="G149" s="2">
        <v>48427</v>
      </c>
      <c r="H149" t="s">
        <v>30</v>
      </c>
      <c r="I149" t="s">
        <v>42</v>
      </c>
      <c r="J149">
        <v>4</v>
      </c>
      <c r="K149" t="s">
        <v>18</v>
      </c>
      <c r="L149" t="s">
        <v>17</v>
      </c>
      <c r="M149">
        <f>YEAR(Scaleflow[[#This Row],[Signup_Date]])</f>
        <v>2023</v>
      </c>
      <c r="N149" t="str">
        <f>TEXT(Scaleflow[[#This Row],[Signup_Date]],"MMM")</f>
        <v>Dec</v>
      </c>
      <c r="O149" t="str">
        <f>IF(Scaleflow[[#This Row],[Monthly_Revenue]]=0,"Free","Paid")</f>
        <v>Paid</v>
      </c>
      <c r="P149">
        <f>YEAR(Scaleflow[[#This Row],[TransactionDate]])</f>
        <v>2025</v>
      </c>
      <c r="Q149">
        <f>MONTH(Scaleflow[[#This Row],[TransactionDate]])</f>
        <v>7</v>
      </c>
      <c r="R149" t="str">
        <f>TEXT(Scaleflow[[#This Row],[TransactionDate]],"MMM")</f>
        <v>Jul</v>
      </c>
    </row>
    <row r="150" spans="1:18" x14ac:dyDescent="0.3">
      <c r="A150" t="s">
        <v>184</v>
      </c>
      <c r="B150" s="1">
        <v>45833</v>
      </c>
      <c r="C150" s="1">
        <v>45950</v>
      </c>
      <c r="D150" t="s">
        <v>12</v>
      </c>
      <c r="E150" t="s">
        <v>41</v>
      </c>
      <c r="F150" t="s">
        <v>29</v>
      </c>
      <c r="G150" s="2">
        <v>11502</v>
      </c>
      <c r="H150" t="s">
        <v>26</v>
      </c>
      <c r="I150" t="s">
        <v>42</v>
      </c>
      <c r="J150">
        <v>5</v>
      </c>
      <c r="K150" t="s">
        <v>18</v>
      </c>
      <c r="L150" t="s">
        <v>17</v>
      </c>
      <c r="M150">
        <f>YEAR(Scaleflow[[#This Row],[Signup_Date]])</f>
        <v>2025</v>
      </c>
      <c r="N150" t="str">
        <f>TEXT(Scaleflow[[#This Row],[Signup_Date]],"MMM")</f>
        <v>Jun</v>
      </c>
      <c r="O150" t="str">
        <f>IF(Scaleflow[[#This Row],[Monthly_Revenue]]=0,"Free","Paid")</f>
        <v>Paid</v>
      </c>
      <c r="P150">
        <f>YEAR(Scaleflow[[#This Row],[TransactionDate]])</f>
        <v>2025</v>
      </c>
      <c r="Q150">
        <f>MONTH(Scaleflow[[#This Row],[TransactionDate]])</f>
        <v>10</v>
      </c>
      <c r="R150" t="str">
        <f>TEXT(Scaleflow[[#This Row],[TransactionDate]],"MMM")</f>
        <v>Oct</v>
      </c>
    </row>
    <row r="151" spans="1:18" x14ac:dyDescent="0.3">
      <c r="A151" t="s">
        <v>185</v>
      </c>
      <c r="B151" s="1">
        <v>45310</v>
      </c>
      <c r="C151" s="1">
        <v>45471</v>
      </c>
      <c r="D151" t="s">
        <v>24</v>
      </c>
      <c r="E151" t="s">
        <v>33</v>
      </c>
      <c r="F151" t="s">
        <v>46</v>
      </c>
      <c r="G151" s="2">
        <v>53792</v>
      </c>
      <c r="H151" t="s">
        <v>15</v>
      </c>
      <c r="I151" t="s">
        <v>36</v>
      </c>
      <c r="J151">
        <v>1</v>
      </c>
      <c r="K151" t="s">
        <v>18</v>
      </c>
      <c r="L151" t="s">
        <v>17</v>
      </c>
      <c r="M151">
        <f>YEAR(Scaleflow[[#This Row],[Signup_Date]])</f>
        <v>2024</v>
      </c>
      <c r="N151" t="str">
        <f>TEXT(Scaleflow[[#This Row],[Signup_Date]],"MMM")</f>
        <v>Jan</v>
      </c>
      <c r="O151" t="str">
        <f>IF(Scaleflow[[#This Row],[Monthly_Revenue]]=0,"Free","Paid")</f>
        <v>Paid</v>
      </c>
      <c r="P151">
        <f>YEAR(Scaleflow[[#This Row],[TransactionDate]])</f>
        <v>2024</v>
      </c>
      <c r="Q151">
        <f>MONTH(Scaleflow[[#This Row],[TransactionDate]])</f>
        <v>6</v>
      </c>
      <c r="R151" t="str">
        <f>TEXT(Scaleflow[[#This Row],[TransactionDate]],"MMM")</f>
        <v>Jun</v>
      </c>
    </row>
    <row r="152" spans="1:18" x14ac:dyDescent="0.3">
      <c r="A152" t="s">
        <v>186</v>
      </c>
      <c r="B152" s="1">
        <v>45385</v>
      </c>
      <c r="C152" s="1">
        <v>45904</v>
      </c>
      <c r="D152" t="s">
        <v>12</v>
      </c>
      <c r="E152" t="s">
        <v>13</v>
      </c>
      <c r="F152" t="s">
        <v>46</v>
      </c>
      <c r="G152" s="2">
        <v>41157</v>
      </c>
      <c r="H152" t="s">
        <v>49</v>
      </c>
      <c r="I152" t="s">
        <v>31</v>
      </c>
      <c r="J152">
        <v>1</v>
      </c>
      <c r="K152" t="s">
        <v>18</v>
      </c>
      <c r="L152" t="s">
        <v>17</v>
      </c>
      <c r="M152">
        <f>YEAR(Scaleflow[[#This Row],[Signup_Date]])</f>
        <v>2024</v>
      </c>
      <c r="N152" t="str">
        <f>TEXT(Scaleflow[[#This Row],[Signup_Date]],"MMM")</f>
        <v>Apr</v>
      </c>
      <c r="O152" t="str">
        <f>IF(Scaleflow[[#This Row],[Monthly_Revenue]]=0,"Free","Paid")</f>
        <v>Paid</v>
      </c>
      <c r="P152">
        <f>YEAR(Scaleflow[[#This Row],[TransactionDate]])</f>
        <v>2025</v>
      </c>
      <c r="Q152">
        <f>MONTH(Scaleflow[[#This Row],[TransactionDate]])</f>
        <v>9</v>
      </c>
      <c r="R152" t="str">
        <f>TEXT(Scaleflow[[#This Row],[TransactionDate]],"MMM")</f>
        <v>Sep</v>
      </c>
    </row>
    <row r="153" spans="1:18" x14ac:dyDescent="0.3">
      <c r="A153" t="s">
        <v>187</v>
      </c>
      <c r="B153" s="1">
        <v>44958</v>
      </c>
      <c r="C153" s="1">
        <v>45002</v>
      </c>
      <c r="D153" t="s">
        <v>12</v>
      </c>
      <c r="E153" t="s">
        <v>13</v>
      </c>
      <c r="F153" t="s">
        <v>29</v>
      </c>
      <c r="G153" s="2">
        <v>16398</v>
      </c>
      <c r="H153" t="s">
        <v>30</v>
      </c>
      <c r="I153" t="s">
        <v>42</v>
      </c>
      <c r="J153">
        <v>0</v>
      </c>
      <c r="K153" t="s">
        <v>18</v>
      </c>
      <c r="L153" t="s">
        <v>17</v>
      </c>
      <c r="M153">
        <f>YEAR(Scaleflow[[#This Row],[Signup_Date]])</f>
        <v>2023</v>
      </c>
      <c r="N153" t="str">
        <f>TEXT(Scaleflow[[#This Row],[Signup_Date]],"MMM")</f>
        <v>Feb</v>
      </c>
      <c r="O153" t="str">
        <f>IF(Scaleflow[[#This Row],[Monthly_Revenue]]=0,"Free","Paid")</f>
        <v>Paid</v>
      </c>
      <c r="P153">
        <f>YEAR(Scaleflow[[#This Row],[TransactionDate]])</f>
        <v>2023</v>
      </c>
      <c r="Q153">
        <f>MONTH(Scaleflow[[#This Row],[TransactionDate]])</f>
        <v>3</v>
      </c>
      <c r="R153" t="str">
        <f>TEXT(Scaleflow[[#This Row],[TransactionDate]],"MMM")</f>
        <v>Mar</v>
      </c>
    </row>
    <row r="154" spans="1:18" x14ac:dyDescent="0.3">
      <c r="A154" t="s">
        <v>188</v>
      </c>
      <c r="B154" s="1">
        <v>44968</v>
      </c>
      <c r="C154" s="1">
        <v>45654</v>
      </c>
      <c r="D154" t="s">
        <v>24</v>
      </c>
      <c r="E154" t="s">
        <v>39</v>
      </c>
      <c r="F154" t="s">
        <v>12</v>
      </c>
      <c r="G154" s="2">
        <v>154555</v>
      </c>
      <c r="H154" t="s">
        <v>34</v>
      </c>
      <c r="I154" t="s">
        <v>16</v>
      </c>
      <c r="J154">
        <v>5</v>
      </c>
      <c r="K154" t="s">
        <v>18</v>
      </c>
      <c r="L154" t="s">
        <v>17</v>
      </c>
      <c r="M154">
        <f>YEAR(Scaleflow[[#This Row],[Signup_Date]])</f>
        <v>2023</v>
      </c>
      <c r="N154" t="str">
        <f>TEXT(Scaleflow[[#This Row],[Signup_Date]],"MMM")</f>
        <v>Feb</v>
      </c>
      <c r="O154" t="str">
        <f>IF(Scaleflow[[#This Row],[Monthly_Revenue]]=0,"Free","Paid")</f>
        <v>Paid</v>
      </c>
      <c r="P154">
        <f>YEAR(Scaleflow[[#This Row],[TransactionDate]])</f>
        <v>2024</v>
      </c>
      <c r="Q154">
        <f>MONTH(Scaleflow[[#This Row],[TransactionDate]])</f>
        <v>12</v>
      </c>
      <c r="R154" t="str">
        <f>TEXT(Scaleflow[[#This Row],[TransactionDate]],"MMM")</f>
        <v>Dec</v>
      </c>
    </row>
    <row r="155" spans="1:18" x14ac:dyDescent="0.3">
      <c r="A155" t="s">
        <v>189</v>
      </c>
      <c r="B155" s="1">
        <v>45573</v>
      </c>
      <c r="C155" s="1">
        <v>45609</v>
      </c>
      <c r="D155" t="s">
        <v>24</v>
      </c>
      <c r="E155" t="s">
        <v>25</v>
      </c>
      <c r="F155" t="s">
        <v>46</v>
      </c>
      <c r="G155" s="2">
        <v>37298</v>
      </c>
      <c r="H155" t="s">
        <v>49</v>
      </c>
      <c r="I155" t="s">
        <v>36</v>
      </c>
      <c r="J155">
        <v>3</v>
      </c>
      <c r="K155" t="s">
        <v>18</v>
      </c>
      <c r="L155" t="s">
        <v>17</v>
      </c>
      <c r="M155">
        <f>YEAR(Scaleflow[[#This Row],[Signup_Date]])</f>
        <v>2024</v>
      </c>
      <c r="N155" t="str">
        <f>TEXT(Scaleflow[[#This Row],[Signup_Date]],"MMM")</f>
        <v>Oct</v>
      </c>
      <c r="O155" t="str">
        <f>IF(Scaleflow[[#This Row],[Monthly_Revenue]]=0,"Free","Paid")</f>
        <v>Paid</v>
      </c>
      <c r="P155">
        <f>YEAR(Scaleflow[[#This Row],[TransactionDate]])</f>
        <v>2024</v>
      </c>
      <c r="Q155">
        <f>MONTH(Scaleflow[[#This Row],[TransactionDate]])</f>
        <v>11</v>
      </c>
      <c r="R155" t="str">
        <f>TEXT(Scaleflow[[#This Row],[TransactionDate]],"MMM")</f>
        <v>Nov</v>
      </c>
    </row>
    <row r="156" spans="1:18" x14ac:dyDescent="0.3">
      <c r="A156" t="s">
        <v>190</v>
      </c>
      <c r="B156" s="1">
        <v>45268</v>
      </c>
      <c r="C156" s="1">
        <v>45679</v>
      </c>
      <c r="D156" t="s">
        <v>24</v>
      </c>
      <c r="E156" t="s">
        <v>39</v>
      </c>
      <c r="F156" t="s">
        <v>14</v>
      </c>
      <c r="G156" s="2">
        <v>0</v>
      </c>
      <c r="H156" t="s">
        <v>15</v>
      </c>
      <c r="I156" t="s">
        <v>36</v>
      </c>
      <c r="J156">
        <v>4</v>
      </c>
      <c r="K156" t="s">
        <v>18</v>
      </c>
      <c r="L156" t="s">
        <v>17</v>
      </c>
      <c r="M156">
        <f>YEAR(Scaleflow[[#This Row],[Signup_Date]])</f>
        <v>2023</v>
      </c>
      <c r="N156" t="str">
        <f>TEXT(Scaleflow[[#This Row],[Signup_Date]],"MMM")</f>
        <v>Dec</v>
      </c>
      <c r="O156" t="str">
        <f>IF(Scaleflow[[#This Row],[Monthly_Revenue]]=0,"Free","Paid")</f>
        <v>Free</v>
      </c>
      <c r="P156">
        <f>YEAR(Scaleflow[[#This Row],[TransactionDate]])</f>
        <v>2025</v>
      </c>
      <c r="Q156">
        <f>MONTH(Scaleflow[[#This Row],[TransactionDate]])</f>
        <v>1</v>
      </c>
      <c r="R156" t="str">
        <f>TEXT(Scaleflow[[#This Row],[TransactionDate]],"MMM")</f>
        <v>Jan</v>
      </c>
    </row>
    <row r="157" spans="1:18" x14ac:dyDescent="0.3">
      <c r="A157" t="s">
        <v>191</v>
      </c>
      <c r="B157" s="1">
        <v>45826</v>
      </c>
      <c r="C157" s="1">
        <v>45906</v>
      </c>
      <c r="D157" t="s">
        <v>12</v>
      </c>
      <c r="E157" t="s">
        <v>25</v>
      </c>
      <c r="F157" t="s">
        <v>46</v>
      </c>
      <c r="G157" s="2">
        <v>53016</v>
      </c>
      <c r="H157" t="s">
        <v>34</v>
      </c>
      <c r="I157" t="s">
        <v>27</v>
      </c>
      <c r="J157">
        <v>4</v>
      </c>
      <c r="K157" t="s">
        <v>17</v>
      </c>
      <c r="L157" t="s">
        <v>18</v>
      </c>
      <c r="M157">
        <f>YEAR(Scaleflow[[#This Row],[Signup_Date]])</f>
        <v>2025</v>
      </c>
      <c r="N157" t="str">
        <f>TEXT(Scaleflow[[#This Row],[Signup_Date]],"MMM")</f>
        <v>Jun</v>
      </c>
      <c r="O157" t="str">
        <f>IF(Scaleflow[[#This Row],[Monthly_Revenue]]=0,"Free","Paid")</f>
        <v>Paid</v>
      </c>
      <c r="P157">
        <f>YEAR(Scaleflow[[#This Row],[TransactionDate]])</f>
        <v>2025</v>
      </c>
      <c r="Q157">
        <f>MONTH(Scaleflow[[#This Row],[TransactionDate]])</f>
        <v>9</v>
      </c>
      <c r="R157" t="str">
        <f>TEXT(Scaleflow[[#This Row],[TransactionDate]],"MMM")</f>
        <v>Sep</v>
      </c>
    </row>
    <row r="158" spans="1:18" x14ac:dyDescent="0.3">
      <c r="A158" t="s">
        <v>192</v>
      </c>
      <c r="B158" s="1">
        <v>45265</v>
      </c>
      <c r="C158" s="1">
        <v>45826</v>
      </c>
      <c r="D158" t="s">
        <v>20</v>
      </c>
      <c r="E158" t="s">
        <v>13</v>
      </c>
      <c r="F158" t="s">
        <v>12</v>
      </c>
      <c r="G158" s="2">
        <v>224076</v>
      </c>
      <c r="H158" t="s">
        <v>49</v>
      </c>
      <c r="I158" t="s">
        <v>16</v>
      </c>
      <c r="J158">
        <v>0</v>
      </c>
      <c r="K158" t="s">
        <v>18</v>
      </c>
      <c r="L158" t="s">
        <v>17</v>
      </c>
      <c r="M158">
        <f>YEAR(Scaleflow[[#This Row],[Signup_Date]])</f>
        <v>2023</v>
      </c>
      <c r="N158" t="str">
        <f>TEXT(Scaleflow[[#This Row],[Signup_Date]],"MMM")</f>
        <v>Dec</v>
      </c>
      <c r="O158" t="str">
        <f>IF(Scaleflow[[#This Row],[Monthly_Revenue]]=0,"Free","Paid")</f>
        <v>Paid</v>
      </c>
      <c r="P158">
        <f>YEAR(Scaleflow[[#This Row],[TransactionDate]])</f>
        <v>2025</v>
      </c>
      <c r="Q158">
        <f>MONTH(Scaleflow[[#This Row],[TransactionDate]])</f>
        <v>6</v>
      </c>
      <c r="R158" t="str">
        <f>TEXT(Scaleflow[[#This Row],[TransactionDate]],"MMM")</f>
        <v>Jun</v>
      </c>
    </row>
    <row r="159" spans="1:18" x14ac:dyDescent="0.3">
      <c r="A159" t="s">
        <v>193</v>
      </c>
      <c r="B159" s="1">
        <v>44951</v>
      </c>
      <c r="C159" s="1">
        <v>45532</v>
      </c>
      <c r="D159" t="s">
        <v>20</v>
      </c>
      <c r="E159" t="s">
        <v>39</v>
      </c>
      <c r="F159" t="s">
        <v>29</v>
      </c>
      <c r="G159" s="2">
        <v>14307</v>
      </c>
      <c r="H159" t="s">
        <v>22</v>
      </c>
      <c r="I159" t="s">
        <v>42</v>
      </c>
      <c r="J159">
        <v>5</v>
      </c>
      <c r="K159" t="s">
        <v>18</v>
      </c>
      <c r="L159" t="s">
        <v>17</v>
      </c>
      <c r="M159">
        <f>YEAR(Scaleflow[[#This Row],[Signup_Date]])</f>
        <v>2023</v>
      </c>
      <c r="N159" t="str">
        <f>TEXT(Scaleflow[[#This Row],[Signup_Date]],"MMM")</f>
        <v>Jan</v>
      </c>
      <c r="O159" t="str">
        <f>IF(Scaleflow[[#This Row],[Monthly_Revenue]]=0,"Free","Paid")</f>
        <v>Paid</v>
      </c>
      <c r="P159">
        <f>YEAR(Scaleflow[[#This Row],[TransactionDate]])</f>
        <v>2024</v>
      </c>
      <c r="Q159">
        <f>MONTH(Scaleflow[[#This Row],[TransactionDate]])</f>
        <v>8</v>
      </c>
      <c r="R159" t="str">
        <f>TEXT(Scaleflow[[#This Row],[TransactionDate]],"MMM")</f>
        <v>Aug</v>
      </c>
    </row>
    <row r="160" spans="1:18" x14ac:dyDescent="0.3">
      <c r="A160" t="s">
        <v>194</v>
      </c>
      <c r="B160" s="1">
        <v>45547</v>
      </c>
      <c r="C160" s="1">
        <v>45906</v>
      </c>
      <c r="D160" t="s">
        <v>12</v>
      </c>
      <c r="E160" t="s">
        <v>21</v>
      </c>
      <c r="F160" t="s">
        <v>12</v>
      </c>
      <c r="G160" s="2">
        <v>158557</v>
      </c>
      <c r="H160" t="s">
        <v>30</v>
      </c>
      <c r="I160" t="s">
        <v>16</v>
      </c>
      <c r="J160">
        <v>4</v>
      </c>
      <c r="K160" t="s">
        <v>18</v>
      </c>
      <c r="L160" t="s">
        <v>17</v>
      </c>
      <c r="M160">
        <f>YEAR(Scaleflow[[#This Row],[Signup_Date]])</f>
        <v>2024</v>
      </c>
      <c r="N160" t="str">
        <f>TEXT(Scaleflow[[#This Row],[Signup_Date]],"MMM")</f>
        <v>Sep</v>
      </c>
      <c r="O160" t="str">
        <f>IF(Scaleflow[[#This Row],[Monthly_Revenue]]=0,"Free","Paid")</f>
        <v>Paid</v>
      </c>
      <c r="P160">
        <f>YEAR(Scaleflow[[#This Row],[TransactionDate]])</f>
        <v>2025</v>
      </c>
      <c r="Q160">
        <f>MONTH(Scaleflow[[#This Row],[TransactionDate]])</f>
        <v>9</v>
      </c>
      <c r="R160" t="str">
        <f>TEXT(Scaleflow[[#This Row],[TransactionDate]],"MMM")</f>
        <v>Sep</v>
      </c>
    </row>
    <row r="161" spans="1:18" x14ac:dyDescent="0.3">
      <c r="A161" t="s">
        <v>195</v>
      </c>
      <c r="B161" s="1">
        <v>45825</v>
      </c>
      <c r="C161" s="1">
        <v>45964</v>
      </c>
      <c r="D161" t="s">
        <v>20</v>
      </c>
      <c r="E161" t="s">
        <v>39</v>
      </c>
      <c r="F161" t="s">
        <v>14</v>
      </c>
      <c r="G161" s="2">
        <v>0</v>
      </c>
      <c r="H161" t="s">
        <v>26</v>
      </c>
      <c r="I161" t="s">
        <v>31</v>
      </c>
      <c r="J161">
        <v>5</v>
      </c>
      <c r="K161" t="s">
        <v>18</v>
      </c>
      <c r="L161" t="s">
        <v>17</v>
      </c>
      <c r="M161">
        <f>YEAR(Scaleflow[[#This Row],[Signup_Date]])</f>
        <v>2025</v>
      </c>
      <c r="N161" t="str">
        <f>TEXT(Scaleflow[[#This Row],[Signup_Date]],"MMM")</f>
        <v>Jun</v>
      </c>
      <c r="O161" t="str">
        <f>IF(Scaleflow[[#This Row],[Monthly_Revenue]]=0,"Free","Paid")</f>
        <v>Free</v>
      </c>
      <c r="P161">
        <f>YEAR(Scaleflow[[#This Row],[TransactionDate]])</f>
        <v>2025</v>
      </c>
      <c r="Q161">
        <f>MONTH(Scaleflow[[#This Row],[TransactionDate]])</f>
        <v>11</v>
      </c>
      <c r="R161" t="str">
        <f>TEXT(Scaleflow[[#This Row],[TransactionDate]],"MMM")</f>
        <v>Nov</v>
      </c>
    </row>
    <row r="162" spans="1:18" x14ac:dyDescent="0.3">
      <c r="A162" t="s">
        <v>196</v>
      </c>
      <c r="B162" s="1">
        <v>45045</v>
      </c>
      <c r="C162" s="1">
        <v>45276</v>
      </c>
      <c r="D162" t="s">
        <v>24</v>
      </c>
      <c r="E162" t="s">
        <v>25</v>
      </c>
      <c r="F162" t="s">
        <v>29</v>
      </c>
      <c r="G162" s="2">
        <v>7302</v>
      </c>
      <c r="H162" t="s">
        <v>26</v>
      </c>
      <c r="I162" t="s">
        <v>36</v>
      </c>
      <c r="J162">
        <v>4</v>
      </c>
      <c r="K162" t="s">
        <v>17</v>
      </c>
      <c r="L162" t="s">
        <v>18</v>
      </c>
      <c r="M162">
        <f>YEAR(Scaleflow[[#This Row],[Signup_Date]])</f>
        <v>2023</v>
      </c>
      <c r="N162" t="str">
        <f>TEXT(Scaleflow[[#This Row],[Signup_Date]],"MMM")</f>
        <v>Apr</v>
      </c>
      <c r="O162" t="str">
        <f>IF(Scaleflow[[#This Row],[Monthly_Revenue]]=0,"Free","Paid")</f>
        <v>Paid</v>
      </c>
      <c r="P162">
        <f>YEAR(Scaleflow[[#This Row],[TransactionDate]])</f>
        <v>2023</v>
      </c>
      <c r="Q162">
        <f>MONTH(Scaleflow[[#This Row],[TransactionDate]])</f>
        <v>12</v>
      </c>
      <c r="R162" t="str">
        <f>TEXT(Scaleflow[[#This Row],[TransactionDate]],"MMM")</f>
        <v>Dec</v>
      </c>
    </row>
    <row r="163" spans="1:18" x14ac:dyDescent="0.3">
      <c r="A163" t="s">
        <v>197</v>
      </c>
      <c r="B163" s="1">
        <v>45801</v>
      </c>
      <c r="C163" s="1">
        <v>45882</v>
      </c>
      <c r="D163" t="s">
        <v>20</v>
      </c>
      <c r="E163" t="s">
        <v>13</v>
      </c>
      <c r="F163" t="s">
        <v>12</v>
      </c>
      <c r="G163" s="2">
        <v>163140</v>
      </c>
      <c r="H163" t="s">
        <v>22</v>
      </c>
      <c r="I163" t="s">
        <v>42</v>
      </c>
      <c r="J163">
        <v>0</v>
      </c>
      <c r="K163" t="s">
        <v>18</v>
      </c>
      <c r="L163" t="s">
        <v>17</v>
      </c>
      <c r="M163">
        <f>YEAR(Scaleflow[[#This Row],[Signup_Date]])</f>
        <v>2025</v>
      </c>
      <c r="N163" t="str">
        <f>TEXT(Scaleflow[[#This Row],[Signup_Date]],"MMM")</f>
        <v>May</v>
      </c>
      <c r="O163" t="str">
        <f>IF(Scaleflow[[#This Row],[Monthly_Revenue]]=0,"Free","Paid")</f>
        <v>Paid</v>
      </c>
      <c r="P163">
        <f>YEAR(Scaleflow[[#This Row],[TransactionDate]])</f>
        <v>2025</v>
      </c>
      <c r="Q163">
        <f>MONTH(Scaleflow[[#This Row],[TransactionDate]])</f>
        <v>8</v>
      </c>
      <c r="R163" t="str">
        <f>TEXT(Scaleflow[[#This Row],[TransactionDate]],"MMM")</f>
        <v>Aug</v>
      </c>
    </row>
    <row r="164" spans="1:18" x14ac:dyDescent="0.3">
      <c r="A164" t="s">
        <v>198</v>
      </c>
      <c r="B164" s="1">
        <v>45792</v>
      </c>
      <c r="C164" s="1">
        <v>45860</v>
      </c>
      <c r="D164" t="s">
        <v>20</v>
      </c>
      <c r="E164" t="s">
        <v>39</v>
      </c>
      <c r="F164" t="s">
        <v>29</v>
      </c>
      <c r="G164" s="2">
        <v>15475</v>
      </c>
      <c r="H164" t="s">
        <v>15</v>
      </c>
      <c r="I164" t="s">
        <v>36</v>
      </c>
      <c r="J164">
        <v>3</v>
      </c>
      <c r="K164" t="s">
        <v>18</v>
      </c>
      <c r="L164" t="s">
        <v>17</v>
      </c>
      <c r="M164">
        <f>YEAR(Scaleflow[[#This Row],[Signup_Date]])</f>
        <v>2025</v>
      </c>
      <c r="N164" t="str">
        <f>TEXT(Scaleflow[[#This Row],[Signup_Date]],"MMM")</f>
        <v>May</v>
      </c>
      <c r="O164" t="str">
        <f>IF(Scaleflow[[#This Row],[Monthly_Revenue]]=0,"Free","Paid")</f>
        <v>Paid</v>
      </c>
      <c r="P164">
        <f>YEAR(Scaleflow[[#This Row],[TransactionDate]])</f>
        <v>2025</v>
      </c>
      <c r="Q164">
        <f>MONTH(Scaleflow[[#This Row],[TransactionDate]])</f>
        <v>7</v>
      </c>
      <c r="R164" t="str">
        <f>TEXT(Scaleflow[[#This Row],[TransactionDate]],"MMM")</f>
        <v>Jul</v>
      </c>
    </row>
    <row r="165" spans="1:18" x14ac:dyDescent="0.3">
      <c r="A165" t="s">
        <v>199</v>
      </c>
      <c r="B165" s="1">
        <v>45081</v>
      </c>
      <c r="C165" s="1">
        <v>45636</v>
      </c>
      <c r="D165" t="s">
        <v>20</v>
      </c>
      <c r="E165" t="s">
        <v>25</v>
      </c>
      <c r="F165" t="s">
        <v>12</v>
      </c>
      <c r="G165" s="2">
        <v>113057</v>
      </c>
      <c r="H165" t="s">
        <v>34</v>
      </c>
      <c r="I165" t="s">
        <v>31</v>
      </c>
      <c r="J165">
        <v>2</v>
      </c>
      <c r="K165" t="s">
        <v>17</v>
      </c>
      <c r="L165" t="s">
        <v>18</v>
      </c>
      <c r="M165">
        <f>YEAR(Scaleflow[[#This Row],[Signup_Date]])</f>
        <v>2023</v>
      </c>
      <c r="N165" t="str">
        <f>TEXT(Scaleflow[[#This Row],[Signup_Date]],"MMM")</f>
        <v>Jun</v>
      </c>
      <c r="O165" t="str">
        <f>IF(Scaleflow[[#This Row],[Monthly_Revenue]]=0,"Free","Paid")</f>
        <v>Paid</v>
      </c>
      <c r="P165">
        <f>YEAR(Scaleflow[[#This Row],[TransactionDate]])</f>
        <v>2024</v>
      </c>
      <c r="Q165">
        <f>MONTH(Scaleflow[[#This Row],[TransactionDate]])</f>
        <v>12</v>
      </c>
      <c r="R165" t="str">
        <f>TEXT(Scaleflow[[#This Row],[TransactionDate]],"MMM")</f>
        <v>Dec</v>
      </c>
    </row>
    <row r="166" spans="1:18" x14ac:dyDescent="0.3">
      <c r="A166" t="s">
        <v>200</v>
      </c>
      <c r="B166" s="1">
        <v>45213</v>
      </c>
      <c r="C166" s="1">
        <v>45309</v>
      </c>
      <c r="D166" t="s">
        <v>12</v>
      </c>
      <c r="E166" t="s">
        <v>13</v>
      </c>
      <c r="F166" t="s">
        <v>46</v>
      </c>
      <c r="G166" s="2">
        <v>46413</v>
      </c>
      <c r="H166" t="s">
        <v>26</v>
      </c>
      <c r="I166" t="s">
        <v>16</v>
      </c>
      <c r="J166">
        <v>2</v>
      </c>
      <c r="K166" t="s">
        <v>18</v>
      </c>
      <c r="L166" t="s">
        <v>17</v>
      </c>
      <c r="M166">
        <f>YEAR(Scaleflow[[#This Row],[Signup_Date]])</f>
        <v>2023</v>
      </c>
      <c r="N166" t="str">
        <f>TEXT(Scaleflow[[#This Row],[Signup_Date]],"MMM")</f>
        <v>Oct</v>
      </c>
      <c r="O166" t="str">
        <f>IF(Scaleflow[[#This Row],[Monthly_Revenue]]=0,"Free","Paid")</f>
        <v>Paid</v>
      </c>
      <c r="P166">
        <f>YEAR(Scaleflow[[#This Row],[TransactionDate]])</f>
        <v>2024</v>
      </c>
      <c r="Q166">
        <f>MONTH(Scaleflow[[#This Row],[TransactionDate]])</f>
        <v>1</v>
      </c>
      <c r="R166" t="str">
        <f>TEXT(Scaleflow[[#This Row],[TransactionDate]],"MMM")</f>
        <v>Jan</v>
      </c>
    </row>
    <row r="167" spans="1:18" x14ac:dyDescent="0.3">
      <c r="A167" t="s">
        <v>201</v>
      </c>
      <c r="B167" s="1">
        <v>45594</v>
      </c>
      <c r="C167" s="1">
        <v>45606</v>
      </c>
      <c r="D167" t="s">
        <v>12</v>
      </c>
      <c r="E167" t="s">
        <v>21</v>
      </c>
      <c r="F167" t="s">
        <v>29</v>
      </c>
      <c r="G167" s="2">
        <v>11012</v>
      </c>
      <c r="H167" t="s">
        <v>22</v>
      </c>
      <c r="I167" t="s">
        <v>36</v>
      </c>
      <c r="J167">
        <v>3</v>
      </c>
      <c r="K167" t="s">
        <v>18</v>
      </c>
      <c r="L167" t="s">
        <v>17</v>
      </c>
      <c r="M167">
        <f>YEAR(Scaleflow[[#This Row],[Signup_Date]])</f>
        <v>2024</v>
      </c>
      <c r="N167" t="str">
        <f>TEXT(Scaleflow[[#This Row],[Signup_Date]],"MMM")</f>
        <v>Oct</v>
      </c>
      <c r="O167" t="str">
        <f>IF(Scaleflow[[#This Row],[Monthly_Revenue]]=0,"Free","Paid")</f>
        <v>Paid</v>
      </c>
      <c r="P167">
        <f>YEAR(Scaleflow[[#This Row],[TransactionDate]])</f>
        <v>2024</v>
      </c>
      <c r="Q167">
        <f>MONTH(Scaleflow[[#This Row],[TransactionDate]])</f>
        <v>11</v>
      </c>
      <c r="R167" t="str">
        <f>TEXT(Scaleflow[[#This Row],[TransactionDate]],"MMM")</f>
        <v>Nov</v>
      </c>
    </row>
    <row r="168" spans="1:18" x14ac:dyDescent="0.3">
      <c r="A168" t="s">
        <v>202</v>
      </c>
      <c r="B168" s="1">
        <v>44942</v>
      </c>
      <c r="C168" s="1">
        <v>45882</v>
      </c>
      <c r="D168" t="s">
        <v>12</v>
      </c>
      <c r="E168" t="s">
        <v>33</v>
      </c>
      <c r="F168" t="s">
        <v>14</v>
      </c>
      <c r="G168" s="2">
        <v>0</v>
      </c>
      <c r="H168" t="s">
        <v>26</v>
      </c>
      <c r="I168" t="s">
        <v>27</v>
      </c>
      <c r="J168">
        <v>3</v>
      </c>
      <c r="K168" t="s">
        <v>17</v>
      </c>
      <c r="L168" t="s">
        <v>18</v>
      </c>
      <c r="M168">
        <f>YEAR(Scaleflow[[#This Row],[Signup_Date]])</f>
        <v>2023</v>
      </c>
      <c r="N168" t="str">
        <f>TEXT(Scaleflow[[#This Row],[Signup_Date]],"MMM")</f>
        <v>Jan</v>
      </c>
      <c r="O168" t="str">
        <f>IF(Scaleflow[[#This Row],[Monthly_Revenue]]=0,"Free","Paid")</f>
        <v>Free</v>
      </c>
      <c r="P168">
        <f>YEAR(Scaleflow[[#This Row],[TransactionDate]])</f>
        <v>2025</v>
      </c>
      <c r="Q168">
        <f>MONTH(Scaleflow[[#This Row],[TransactionDate]])</f>
        <v>8</v>
      </c>
      <c r="R168" t="str">
        <f>TEXT(Scaleflow[[#This Row],[TransactionDate]],"MMM")</f>
        <v>Aug</v>
      </c>
    </row>
    <row r="169" spans="1:18" x14ac:dyDescent="0.3">
      <c r="A169" t="s">
        <v>203</v>
      </c>
      <c r="B169" s="1">
        <v>45684</v>
      </c>
      <c r="C169" s="1">
        <v>45766</v>
      </c>
      <c r="D169" t="s">
        <v>20</v>
      </c>
      <c r="E169" t="s">
        <v>39</v>
      </c>
      <c r="F169" t="s">
        <v>14</v>
      </c>
      <c r="G169" s="2">
        <v>0</v>
      </c>
      <c r="H169" t="s">
        <v>30</v>
      </c>
      <c r="I169" t="s">
        <v>36</v>
      </c>
      <c r="J169">
        <v>2</v>
      </c>
      <c r="K169" t="s">
        <v>18</v>
      </c>
      <c r="L169" t="s">
        <v>17</v>
      </c>
      <c r="M169">
        <f>YEAR(Scaleflow[[#This Row],[Signup_Date]])</f>
        <v>2025</v>
      </c>
      <c r="N169" t="str">
        <f>TEXT(Scaleflow[[#This Row],[Signup_Date]],"MMM")</f>
        <v>Jan</v>
      </c>
      <c r="O169" t="str">
        <f>IF(Scaleflow[[#This Row],[Monthly_Revenue]]=0,"Free","Paid")</f>
        <v>Free</v>
      </c>
      <c r="P169">
        <f>YEAR(Scaleflow[[#This Row],[TransactionDate]])</f>
        <v>2025</v>
      </c>
      <c r="Q169">
        <f>MONTH(Scaleflow[[#This Row],[TransactionDate]])</f>
        <v>4</v>
      </c>
      <c r="R169" t="str">
        <f>TEXT(Scaleflow[[#This Row],[TransactionDate]],"MMM")</f>
        <v>Apr</v>
      </c>
    </row>
    <row r="170" spans="1:18" x14ac:dyDescent="0.3">
      <c r="A170" t="s">
        <v>204</v>
      </c>
      <c r="B170" s="1">
        <v>44988</v>
      </c>
      <c r="C170" s="1">
        <v>45698</v>
      </c>
      <c r="D170" t="s">
        <v>20</v>
      </c>
      <c r="E170" t="s">
        <v>21</v>
      </c>
      <c r="F170" t="s">
        <v>14</v>
      </c>
      <c r="G170" s="2">
        <v>0</v>
      </c>
      <c r="H170" t="s">
        <v>26</v>
      </c>
      <c r="I170" t="s">
        <v>16</v>
      </c>
      <c r="J170">
        <v>2</v>
      </c>
      <c r="K170" t="s">
        <v>18</v>
      </c>
      <c r="L170" t="s">
        <v>17</v>
      </c>
      <c r="M170">
        <f>YEAR(Scaleflow[[#This Row],[Signup_Date]])</f>
        <v>2023</v>
      </c>
      <c r="N170" t="str">
        <f>TEXT(Scaleflow[[#This Row],[Signup_Date]],"MMM")</f>
        <v>Mar</v>
      </c>
      <c r="O170" t="str">
        <f>IF(Scaleflow[[#This Row],[Monthly_Revenue]]=0,"Free","Paid")</f>
        <v>Free</v>
      </c>
      <c r="P170">
        <f>YEAR(Scaleflow[[#This Row],[TransactionDate]])</f>
        <v>2025</v>
      </c>
      <c r="Q170">
        <f>MONTH(Scaleflow[[#This Row],[TransactionDate]])</f>
        <v>2</v>
      </c>
      <c r="R170" t="str">
        <f>TEXT(Scaleflow[[#This Row],[TransactionDate]],"MMM")</f>
        <v>Feb</v>
      </c>
    </row>
    <row r="171" spans="1:18" x14ac:dyDescent="0.3">
      <c r="A171" t="s">
        <v>205</v>
      </c>
      <c r="B171" s="1">
        <v>45906</v>
      </c>
      <c r="C171" s="1">
        <v>46019</v>
      </c>
      <c r="D171" t="s">
        <v>24</v>
      </c>
      <c r="E171" t="s">
        <v>25</v>
      </c>
      <c r="F171" t="s">
        <v>46</v>
      </c>
      <c r="G171" s="2">
        <v>40030</v>
      </c>
      <c r="H171" t="s">
        <v>34</v>
      </c>
      <c r="I171" t="s">
        <v>31</v>
      </c>
      <c r="J171">
        <v>4</v>
      </c>
      <c r="K171" t="s">
        <v>18</v>
      </c>
      <c r="L171" t="s">
        <v>17</v>
      </c>
      <c r="M171">
        <f>YEAR(Scaleflow[[#This Row],[Signup_Date]])</f>
        <v>2025</v>
      </c>
      <c r="N171" t="str">
        <f>TEXT(Scaleflow[[#This Row],[Signup_Date]],"MMM")</f>
        <v>Sep</v>
      </c>
      <c r="O171" t="str">
        <f>IF(Scaleflow[[#This Row],[Monthly_Revenue]]=0,"Free","Paid")</f>
        <v>Paid</v>
      </c>
      <c r="P171">
        <f>YEAR(Scaleflow[[#This Row],[TransactionDate]])</f>
        <v>2025</v>
      </c>
      <c r="Q171">
        <f>MONTH(Scaleflow[[#This Row],[TransactionDate]])</f>
        <v>12</v>
      </c>
      <c r="R171" t="str">
        <f>TEXT(Scaleflow[[#This Row],[TransactionDate]],"MMM")</f>
        <v>Dec</v>
      </c>
    </row>
    <row r="172" spans="1:18" x14ac:dyDescent="0.3">
      <c r="A172" t="s">
        <v>206</v>
      </c>
      <c r="B172" s="1">
        <v>45734</v>
      </c>
      <c r="C172" s="1">
        <v>45912</v>
      </c>
      <c r="D172" t="s">
        <v>24</v>
      </c>
      <c r="E172" t="s">
        <v>25</v>
      </c>
      <c r="F172" t="s">
        <v>14</v>
      </c>
      <c r="G172" s="2">
        <v>0</v>
      </c>
      <c r="H172" t="s">
        <v>30</v>
      </c>
      <c r="I172" t="s">
        <v>16</v>
      </c>
      <c r="J172">
        <v>3</v>
      </c>
      <c r="K172" t="s">
        <v>18</v>
      </c>
      <c r="L172" t="s">
        <v>17</v>
      </c>
      <c r="M172">
        <f>YEAR(Scaleflow[[#This Row],[Signup_Date]])</f>
        <v>2025</v>
      </c>
      <c r="N172" t="str">
        <f>TEXT(Scaleflow[[#This Row],[Signup_Date]],"MMM")</f>
        <v>Mar</v>
      </c>
      <c r="O172" t="str">
        <f>IF(Scaleflow[[#This Row],[Monthly_Revenue]]=0,"Free","Paid")</f>
        <v>Free</v>
      </c>
      <c r="P172">
        <f>YEAR(Scaleflow[[#This Row],[TransactionDate]])</f>
        <v>2025</v>
      </c>
      <c r="Q172">
        <f>MONTH(Scaleflow[[#This Row],[TransactionDate]])</f>
        <v>9</v>
      </c>
      <c r="R172" t="str">
        <f>TEXT(Scaleflow[[#This Row],[TransactionDate]],"MMM")</f>
        <v>Sep</v>
      </c>
    </row>
    <row r="173" spans="1:18" x14ac:dyDescent="0.3">
      <c r="A173" t="s">
        <v>207</v>
      </c>
      <c r="B173" s="1">
        <v>45392</v>
      </c>
      <c r="C173" s="1">
        <v>45768</v>
      </c>
      <c r="D173" t="s">
        <v>20</v>
      </c>
      <c r="E173" t="s">
        <v>39</v>
      </c>
      <c r="F173" t="s">
        <v>14</v>
      </c>
      <c r="G173" s="2">
        <v>0</v>
      </c>
      <c r="H173" t="s">
        <v>15</v>
      </c>
      <c r="I173" t="s">
        <v>36</v>
      </c>
      <c r="J173">
        <v>2</v>
      </c>
      <c r="K173" t="s">
        <v>18</v>
      </c>
      <c r="L173" t="s">
        <v>17</v>
      </c>
      <c r="M173">
        <f>YEAR(Scaleflow[[#This Row],[Signup_Date]])</f>
        <v>2024</v>
      </c>
      <c r="N173" t="str">
        <f>TEXT(Scaleflow[[#This Row],[Signup_Date]],"MMM")</f>
        <v>Apr</v>
      </c>
      <c r="O173" t="str">
        <f>IF(Scaleflow[[#This Row],[Monthly_Revenue]]=0,"Free","Paid")</f>
        <v>Free</v>
      </c>
      <c r="P173">
        <f>YEAR(Scaleflow[[#This Row],[TransactionDate]])</f>
        <v>2025</v>
      </c>
      <c r="Q173">
        <f>MONTH(Scaleflow[[#This Row],[TransactionDate]])</f>
        <v>4</v>
      </c>
      <c r="R173" t="str">
        <f>TEXT(Scaleflow[[#This Row],[TransactionDate]],"MMM")</f>
        <v>Apr</v>
      </c>
    </row>
    <row r="174" spans="1:18" x14ac:dyDescent="0.3">
      <c r="A174" t="s">
        <v>208</v>
      </c>
      <c r="B174" s="1">
        <v>45527</v>
      </c>
      <c r="C174" s="1">
        <v>45965</v>
      </c>
      <c r="D174" t="s">
        <v>12</v>
      </c>
      <c r="E174" t="s">
        <v>41</v>
      </c>
      <c r="F174" t="s">
        <v>46</v>
      </c>
      <c r="G174" s="2">
        <v>38139</v>
      </c>
      <c r="H174" t="s">
        <v>22</v>
      </c>
      <c r="I174" t="s">
        <v>42</v>
      </c>
      <c r="J174">
        <v>5</v>
      </c>
      <c r="K174" t="s">
        <v>18</v>
      </c>
      <c r="L174" t="s">
        <v>17</v>
      </c>
      <c r="M174">
        <f>YEAR(Scaleflow[[#This Row],[Signup_Date]])</f>
        <v>2024</v>
      </c>
      <c r="N174" t="str">
        <f>TEXT(Scaleflow[[#This Row],[Signup_Date]],"MMM")</f>
        <v>Aug</v>
      </c>
      <c r="O174" t="str">
        <f>IF(Scaleflow[[#This Row],[Monthly_Revenue]]=0,"Free","Paid")</f>
        <v>Paid</v>
      </c>
      <c r="P174">
        <f>YEAR(Scaleflow[[#This Row],[TransactionDate]])</f>
        <v>2025</v>
      </c>
      <c r="Q174">
        <f>MONTH(Scaleflow[[#This Row],[TransactionDate]])</f>
        <v>11</v>
      </c>
      <c r="R174" t="str">
        <f>TEXT(Scaleflow[[#This Row],[TransactionDate]],"MMM")</f>
        <v>Nov</v>
      </c>
    </row>
    <row r="175" spans="1:18" x14ac:dyDescent="0.3">
      <c r="A175" t="s">
        <v>209</v>
      </c>
      <c r="B175" s="1">
        <v>45510</v>
      </c>
      <c r="C175" s="1">
        <v>45975</v>
      </c>
      <c r="D175" t="s">
        <v>20</v>
      </c>
      <c r="E175" t="s">
        <v>41</v>
      </c>
      <c r="F175" t="s">
        <v>14</v>
      </c>
      <c r="G175" s="2">
        <v>0</v>
      </c>
      <c r="H175" t="s">
        <v>15</v>
      </c>
      <c r="I175" t="s">
        <v>16</v>
      </c>
      <c r="J175">
        <v>0</v>
      </c>
      <c r="K175" t="s">
        <v>18</v>
      </c>
      <c r="L175" t="s">
        <v>17</v>
      </c>
      <c r="M175">
        <f>YEAR(Scaleflow[[#This Row],[Signup_Date]])</f>
        <v>2024</v>
      </c>
      <c r="N175" t="str">
        <f>TEXT(Scaleflow[[#This Row],[Signup_Date]],"MMM")</f>
        <v>Aug</v>
      </c>
      <c r="O175" t="str">
        <f>IF(Scaleflow[[#This Row],[Monthly_Revenue]]=0,"Free","Paid")</f>
        <v>Free</v>
      </c>
      <c r="P175">
        <f>YEAR(Scaleflow[[#This Row],[TransactionDate]])</f>
        <v>2025</v>
      </c>
      <c r="Q175">
        <f>MONTH(Scaleflow[[#This Row],[TransactionDate]])</f>
        <v>11</v>
      </c>
      <c r="R175" t="str">
        <f>TEXT(Scaleflow[[#This Row],[TransactionDate]],"MMM")</f>
        <v>Nov</v>
      </c>
    </row>
    <row r="176" spans="1:18" x14ac:dyDescent="0.3">
      <c r="A176" t="s">
        <v>210</v>
      </c>
      <c r="B176" s="1">
        <v>45556</v>
      </c>
      <c r="C176" s="1">
        <v>45840</v>
      </c>
      <c r="D176" t="s">
        <v>12</v>
      </c>
      <c r="E176" t="s">
        <v>33</v>
      </c>
      <c r="F176" t="s">
        <v>14</v>
      </c>
      <c r="G176" s="2">
        <v>0</v>
      </c>
      <c r="H176" t="s">
        <v>15</v>
      </c>
      <c r="I176" t="s">
        <v>16</v>
      </c>
      <c r="J176">
        <v>4</v>
      </c>
      <c r="K176" t="s">
        <v>18</v>
      </c>
      <c r="L176" t="s">
        <v>17</v>
      </c>
      <c r="M176">
        <f>YEAR(Scaleflow[[#This Row],[Signup_Date]])</f>
        <v>2024</v>
      </c>
      <c r="N176" t="str">
        <f>TEXT(Scaleflow[[#This Row],[Signup_Date]],"MMM")</f>
        <v>Sep</v>
      </c>
      <c r="O176" t="str">
        <f>IF(Scaleflow[[#This Row],[Monthly_Revenue]]=0,"Free","Paid")</f>
        <v>Free</v>
      </c>
      <c r="P176">
        <f>YEAR(Scaleflow[[#This Row],[TransactionDate]])</f>
        <v>2025</v>
      </c>
      <c r="Q176">
        <f>MONTH(Scaleflow[[#This Row],[TransactionDate]])</f>
        <v>7</v>
      </c>
      <c r="R176" t="str">
        <f>TEXT(Scaleflow[[#This Row],[TransactionDate]],"MMM")</f>
        <v>Jul</v>
      </c>
    </row>
    <row r="177" spans="1:18" x14ac:dyDescent="0.3">
      <c r="A177" t="s">
        <v>211</v>
      </c>
      <c r="B177" s="1">
        <v>45857</v>
      </c>
      <c r="C177" s="1">
        <v>46003</v>
      </c>
      <c r="D177" t="s">
        <v>20</v>
      </c>
      <c r="E177" t="s">
        <v>25</v>
      </c>
      <c r="F177" t="s">
        <v>29</v>
      </c>
      <c r="G177" s="2">
        <v>17562</v>
      </c>
      <c r="H177" t="s">
        <v>49</v>
      </c>
      <c r="I177" t="s">
        <v>16</v>
      </c>
      <c r="J177">
        <v>3</v>
      </c>
      <c r="K177" t="s">
        <v>17</v>
      </c>
      <c r="L177" t="s">
        <v>18</v>
      </c>
      <c r="M177">
        <f>YEAR(Scaleflow[[#This Row],[Signup_Date]])</f>
        <v>2025</v>
      </c>
      <c r="N177" t="str">
        <f>TEXT(Scaleflow[[#This Row],[Signup_Date]],"MMM")</f>
        <v>Jul</v>
      </c>
      <c r="O177" t="str">
        <f>IF(Scaleflow[[#This Row],[Monthly_Revenue]]=0,"Free","Paid")</f>
        <v>Paid</v>
      </c>
      <c r="P177">
        <f>YEAR(Scaleflow[[#This Row],[TransactionDate]])</f>
        <v>2025</v>
      </c>
      <c r="Q177">
        <f>MONTH(Scaleflow[[#This Row],[TransactionDate]])</f>
        <v>12</v>
      </c>
      <c r="R177" t="str">
        <f>TEXT(Scaleflow[[#This Row],[TransactionDate]],"MMM")</f>
        <v>Dec</v>
      </c>
    </row>
    <row r="178" spans="1:18" x14ac:dyDescent="0.3">
      <c r="A178" t="s">
        <v>212</v>
      </c>
      <c r="B178" s="1">
        <v>45168</v>
      </c>
      <c r="C178" s="1">
        <v>45872</v>
      </c>
      <c r="D178" t="s">
        <v>20</v>
      </c>
      <c r="E178" t="s">
        <v>39</v>
      </c>
      <c r="F178" t="s">
        <v>12</v>
      </c>
      <c r="G178" s="2">
        <v>238231</v>
      </c>
      <c r="H178" t="s">
        <v>34</v>
      </c>
      <c r="I178" t="s">
        <v>27</v>
      </c>
      <c r="J178">
        <v>1</v>
      </c>
      <c r="K178" t="s">
        <v>18</v>
      </c>
      <c r="L178" t="s">
        <v>17</v>
      </c>
      <c r="M178">
        <f>YEAR(Scaleflow[[#This Row],[Signup_Date]])</f>
        <v>2023</v>
      </c>
      <c r="N178" t="str">
        <f>TEXT(Scaleflow[[#This Row],[Signup_Date]],"MMM")</f>
        <v>Aug</v>
      </c>
      <c r="O178" t="str">
        <f>IF(Scaleflow[[#This Row],[Monthly_Revenue]]=0,"Free","Paid")</f>
        <v>Paid</v>
      </c>
      <c r="P178">
        <f>YEAR(Scaleflow[[#This Row],[TransactionDate]])</f>
        <v>2025</v>
      </c>
      <c r="Q178">
        <f>MONTH(Scaleflow[[#This Row],[TransactionDate]])</f>
        <v>8</v>
      </c>
      <c r="R178" t="str">
        <f>TEXT(Scaleflow[[#This Row],[TransactionDate]],"MMM")</f>
        <v>Aug</v>
      </c>
    </row>
    <row r="179" spans="1:18" x14ac:dyDescent="0.3">
      <c r="A179" t="s">
        <v>213</v>
      </c>
      <c r="B179" s="1">
        <v>45846</v>
      </c>
      <c r="C179" s="1">
        <v>45881</v>
      </c>
      <c r="D179" t="s">
        <v>12</v>
      </c>
      <c r="E179" t="s">
        <v>13</v>
      </c>
      <c r="F179" t="s">
        <v>46</v>
      </c>
      <c r="G179" s="2">
        <v>44448</v>
      </c>
      <c r="H179" t="s">
        <v>22</v>
      </c>
      <c r="I179" t="s">
        <v>42</v>
      </c>
      <c r="J179">
        <v>4</v>
      </c>
      <c r="K179" t="s">
        <v>18</v>
      </c>
      <c r="L179" t="s">
        <v>17</v>
      </c>
      <c r="M179">
        <f>YEAR(Scaleflow[[#This Row],[Signup_Date]])</f>
        <v>2025</v>
      </c>
      <c r="N179" t="str">
        <f>TEXT(Scaleflow[[#This Row],[Signup_Date]],"MMM")</f>
        <v>Jul</v>
      </c>
      <c r="O179" t="str">
        <f>IF(Scaleflow[[#This Row],[Monthly_Revenue]]=0,"Free","Paid")</f>
        <v>Paid</v>
      </c>
      <c r="P179">
        <f>YEAR(Scaleflow[[#This Row],[TransactionDate]])</f>
        <v>2025</v>
      </c>
      <c r="Q179">
        <f>MONTH(Scaleflow[[#This Row],[TransactionDate]])</f>
        <v>8</v>
      </c>
      <c r="R179" t="str">
        <f>TEXT(Scaleflow[[#This Row],[TransactionDate]],"MMM")</f>
        <v>Aug</v>
      </c>
    </row>
    <row r="180" spans="1:18" x14ac:dyDescent="0.3">
      <c r="A180" t="s">
        <v>214</v>
      </c>
      <c r="B180" s="1">
        <v>45198</v>
      </c>
      <c r="C180" s="1">
        <v>45477</v>
      </c>
      <c r="D180" t="s">
        <v>24</v>
      </c>
      <c r="E180" t="s">
        <v>33</v>
      </c>
      <c r="F180" t="s">
        <v>14</v>
      </c>
      <c r="G180" s="2">
        <v>0</v>
      </c>
      <c r="H180" t="s">
        <v>15</v>
      </c>
      <c r="I180" t="s">
        <v>42</v>
      </c>
      <c r="J180">
        <v>5</v>
      </c>
      <c r="K180" t="s">
        <v>18</v>
      </c>
      <c r="L180" t="s">
        <v>17</v>
      </c>
      <c r="M180">
        <f>YEAR(Scaleflow[[#This Row],[Signup_Date]])</f>
        <v>2023</v>
      </c>
      <c r="N180" t="str">
        <f>TEXT(Scaleflow[[#This Row],[Signup_Date]],"MMM")</f>
        <v>Sep</v>
      </c>
      <c r="O180" t="str">
        <f>IF(Scaleflow[[#This Row],[Monthly_Revenue]]=0,"Free","Paid")</f>
        <v>Free</v>
      </c>
      <c r="P180">
        <f>YEAR(Scaleflow[[#This Row],[TransactionDate]])</f>
        <v>2024</v>
      </c>
      <c r="Q180">
        <f>MONTH(Scaleflow[[#This Row],[TransactionDate]])</f>
        <v>7</v>
      </c>
      <c r="R180" t="str">
        <f>TEXT(Scaleflow[[#This Row],[TransactionDate]],"MMM")</f>
        <v>Jul</v>
      </c>
    </row>
    <row r="181" spans="1:18" x14ac:dyDescent="0.3">
      <c r="A181" t="s">
        <v>215</v>
      </c>
      <c r="B181" s="1">
        <v>45320</v>
      </c>
      <c r="C181" s="1">
        <v>45446</v>
      </c>
      <c r="D181" t="s">
        <v>12</v>
      </c>
      <c r="E181" t="s">
        <v>33</v>
      </c>
      <c r="F181" t="s">
        <v>12</v>
      </c>
      <c r="G181" s="2">
        <v>231488</v>
      </c>
      <c r="H181" t="s">
        <v>22</v>
      </c>
      <c r="I181" t="s">
        <v>36</v>
      </c>
      <c r="J181">
        <v>3</v>
      </c>
      <c r="K181" t="s">
        <v>18</v>
      </c>
      <c r="L181" t="s">
        <v>17</v>
      </c>
      <c r="M181">
        <f>YEAR(Scaleflow[[#This Row],[Signup_Date]])</f>
        <v>2024</v>
      </c>
      <c r="N181" t="str">
        <f>TEXT(Scaleflow[[#This Row],[Signup_Date]],"MMM")</f>
        <v>Jan</v>
      </c>
      <c r="O181" t="str">
        <f>IF(Scaleflow[[#This Row],[Monthly_Revenue]]=0,"Free","Paid")</f>
        <v>Paid</v>
      </c>
      <c r="P181">
        <f>YEAR(Scaleflow[[#This Row],[TransactionDate]])</f>
        <v>2024</v>
      </c>
      <c r="Q181">
        <f>MONTH(Scaleflow[[#This Row],[TransactionDate]])</f>
        <v>6</v>
      </c>
      <c r="R181" t="str">
        <f>TEXT(Scaleflow[[#This Row],[TransactionDate]],"MMM")</f>
        <v>Jun</v>
      </c>
    </row>
    <row r="182" spans="1:18" x14ac:dyDescent="0.3">
      <c r="A182" t="s">
        <v>216</v>
      </c>
      <c r="B182" s="1">
        <v>45816</v>
      </c>
      <c r="C182" s="1">
        <v>45907</v>
      </c>
      <c r="D182" t="s">
        <v>20</v>
      </c>
      <c r="E182" t="s">
        <v>21</v>
      </c>
      <c r="F182" t="s">
        <v>46</v>
      </c>
      <c r="G182" s="2">
        <v>28291</v>
      </c>
      <c r="H182" t="s">
        <v>30</v>
      </c>
      <c r="I182" t="s">
        <v>27</v>
      </c>
      <c r="J182">
        <v>0</v>
      </c>
      <c r="K182" t="s">
        <v>18</v>
      </c>
      <c r="L182" t="s">
        <v>17</v>
      </c>
      <c r="M182">
        <f>YEAR(Scaleflow[[#This Row],[Signup_Date]])</f>
        <v>2025</v>
      </c>
      <c r="N182" t="str">
        <f>TEXT(Scaleflow[[#This Row],[Signup_Date]],"MMM")</f>
        <v>Jun</v>
      </c>
      <c r="O182" t="str">
        <f>IF(Scaleflow[[#This Row],[Monthly_Revenue]]=0,"Free","Paid")</f>
        <v>Paid</v>
      </c>
      <c r="P182">
        <f>YEAR(Scaleflow[[#This Row],[TransactionDate]])</f>
        <v>2025</v>
      </c>
      <c r="Q182">
        <f>MONTH(Scaleflow[[#This Row],[TransactionDate]])</f>
        <v>9</v>
      </c>
      <c r="R182" t="str">
        <f>TEXT(Scaleflow[[#This Row],[TransactionDate]],"MMM")</f>
        <v>Sep</v>
      </c>
    </row>
    <row r="183" spans="1:18" x14ac:dyDescent="0.3">
      <c r="A183" t="s">
        <v>217</v>
      </c>
      <c r="B183" s="1">
        <v>45614</v>
      </c>
      <c r="C183" s="1">
        <v>45630</v>
      </c>
      <c r="D183" t="s">
        <v>20</v>
      </c>
      <c r="E183" t="s">
        <v>25</v>
      </c>
      <c r="F183" t="s">
        <v>14</v>
      </c>
      <c r="G183" s="2">
        <v>0</v>
      </c>
      <c r="H183" t="s">
        <v>22</v>
      </c>
      <c r="I183" t="s">
        <v>31</v>
      </c>
      <c r="J183">
        <v>5</v>
      </c>
      <c r="K183" t="s">
        <v>18</v>
      </c>
      <c r="L183" t="s">
        <v>17</v>
      </c>
      <c r="M183">
        <f>YEAR(Scaleflow[[#This Row],[Signup_Date]])</f>
        <v>2024</v>
      </c>
      <c r="N183" t="str">
        <f>TEXT(Scaleflow[[#This Row],[Signup_Date]],"MMM")</f>
        <v>Nov</v>
      </c>
      <c r="O183" t="str">
        <f>IF(Scaleflow[[#This Row],[Monthly_Revenue]]=0,"Free","Paid")</f>
        <v>Free</v>
      </c>
      <c r="P183">
        <f>YEAR(Scaleflow[[#This Row],[TransactionDate]])</f>
        <v>2024</v>
      </c>
      <c r="Q183">
        <f>MONTH(Scaleflow[[#This Row],[TransactionDate]])</f>
        <v>12</v>
      </c>
      <c r="R183" t="str">
        <f>TEXT(Scaleflow[[#This Row],[TransactionDate]],"MMM")</f>
        <v>Dec</v>
      </c>
    </row>
    <row r="184" spans="1:18" x14ac:dyDescent="0.3">
      <c r="A184" t="s">
        <v>218</v>
      </c>
      <c r="B184" s="1">
        <v>45708</v>
      </c>
      <c r="C184" s="1">
        <v>45770</v>
      </c>
      <c r="D184" t="s">
        <v>12</v>
      </c>
      <c r="E184" t="s">
        <v>13</v>
      </c>
      <c r="F184" t="s">
        <v>46</v>
      </c>
      <c r="G184" s="2">
        <v>45039</v>
      </c>
      <c r="H184" t="s">
        <v>30</v>
      </c>
      <c r="I184" t="s">
        <v>42</v>
      </c>
      <c r="J184">
        <v>4</v>
      </c>
      <c r="K184" t="s">
        <v>17</v>
      </c>
      <c r="L184" t="s">
        <v>18</v>
      </c>
      <c r="M184">
        <f>YEAR(Scaleflow[[#This Row],[Signup_Date]])</f>
        <v>2025</v>
      </c>
      <c r="N184" t="str">
        <f>TEXT(Scaleflow[[#This Row],[Signup_Date]],"MMM")</f>
        <v>Feb</v>
      </c>
      <c r="O184" t="str">
        <f>IF(Scaleflow[[#This Row],[Monthly_Revenue]]=0,"Free","Paid")</f>
        <v>Paid</v>
      </c>
      <c r="P184">
        <f>YEAR(Scaleflow[[#This Row],[TransactionDate]])</f>
        <v>2025</v>
      </c>
      <c r="Q184">
        <f>MONTH(Scaleflow[[#This Row],[TransactionDate]])</f>
        <v>4</v>
      </c>
      <c r="R184" t="str">
        <f>TEXT(Scaleflow[[#This Row],[TransactionDate]],"MMM")</f>
        <v>Apr</v>
      </c>
    </row>
    <row r="185" spans="1:18" x14ac:dyDescent="0.3">
      <c r="A185" t="s">
        <v>219</v>
      </c>
      <c r="B185" s="1">
        <v>45639</v>
      </c>
      <c r="C185" s="1">
        <v>45916</v>
      </c>
      <c r="D185" t="s">
        <v>24</v>
      </c>
      <c r="E185" t="s">
        <v>13</v>
      </c>
      <c r="F185" t="s">
        <v>14</v>
      </c>
      <c r="G185" s="2">
        <v>0</v>
      </c>
      <c r="H185" t="s">
        <v>49</v>
      </c>
      <c r="I185" t="s">
        <v>31</v>
      </c>
      <c r="J185">
        <v>3</v>
      </c>
      <c r="K185" t="s">
        <v>18</v>
      </c>
      <c r="L185" t="s">
        <v>17</v>
      </c>
      <c r="M185">
        <f>YEAR(Scaleflow[[#This Row],[Signup_Date]])</f>
        <v>2024</v>
      </c>
      <c r="N185" t="str">
        <f>TEXT(Scaleflow[[#This Row],[Signup_Date]],"MMM")</f>
        <v>Dec</v>
      </c>
      <c r="O185" t="str">
        <f>IF(Scaleflow[[#This Row],[Monthly_Revenue]]=0,"Free","Paid")</f>
        <v>Free</v>
      </c>
      <c r="P185">
        <f>YEAR(Scaleflow[[#This Row],[TransactionDate]])</f>
        <v>2025</v>
      </c>
      <c r="Q185">
        <f>MONTH(Scaleflow[[#This Row],[TransactionDate]])</f>
        <v>9</v>
      </c>
      <c r="R185" t="str">
        <f>TEXT(Scaleflow[[#This Row],[TransactionDate]],"MMM")</f>
        <v>Sep</v>
      </c>
    </row>
    <row r="186" spans="1:18" x14ac:dyDescent="0.3">
      <c r="A186" t="s">
        <v>220</v>
      </c>
      <c r="B186" s="1">
        <v>45582</v>
      </c>
      <c r="C186" s="1">
        <v>45793</v>
      </c>
      <c r="D186" t="s">
        <v>20</v>
      </c>
      <c r="E186" t="s">
        <v>33</v>
      </c>
      <c r="F186" t="s">
        <v>14</v>
      </c>
      <c r="G186" s="2">
        <v>0</v>
      </c>
      <c r="H186" t="s">
        <v>30</v>
      </c>
      <c r="I186" t="s">
        <v>16</v>
      </c>
      <c r="J186">
        <v>1</v>
      </c>
      <c r="K186" t="s">
        <v>17</v>
      </c>
      <c r="L186" t="s">
        <v>18</v>
      </c>
      <c r="M186">
        <f>YEAR(Scaleflow[[#This Row],[Signup_Date]])</f>
        <v>2024</v>
      </c>
      <c r="N186" t="str">
        <f>TEXT(Scaleflow[[#This Row],[Signup_Date]],"MMM")</f>
        <v>Oct</v>
      </c>
      <c r="O186" t="str">
        <f>IF(Scaleflow[[#This Row],[Monthly_Revenue]]=0,"Free","Paid")</f>
        <v>Free</v>
      </c>
      <c r="P186">
        <f>YEAR(Scaleflow[[#This Row],[TransactionDate]])</f>
        <v>2025</v>
      </c>
      <c r="Q186">
        <f>MONTH(Scaleflow[[#This Row],[TransactionDate]])</f>
        <v>5</v>
      </c>
      <c r="R186" t="str">
        <f>TEXT(Scaleflow[[#This Row],[TransactionDate]],"MMM")</f>
        <v>May</v>
      </c>
    </row>
    <row r="187" spans="1:18" x14ac:dyDescent="0.3">
      <c r="A187" t="s">
        <v>221</v>
      </c>
      <c r="B187" s="1">
        <v>45774</v>
      </c>
      <c r="C187" s="1">
        <v>45894</v>
      </c>
      <c r="D187" t="s">
        <v>20</v>
      </c>
      <c r="E187" t="s">
        <v>21</v>
      </c>
      <c r="F187" t="s">
        <v>46</v>
      </c>
      <c r="G187" s="2">
        <v>52321</v>
      </c>
      <c r="H187" t="s">
        <v>22</v>
      </c>
      <c r="I187" t="s">
        <v>42</v>
      </c>
      <c r="J187">
        <v>5</v>
      </c>
      <c r="K187" t="s">
        <v>17</v>
      </c>
      <c r="L187" t="s">
        <v>18</v>
      </c>
      <c r="M187">
        <f>YEAR(Scaleflow[[#This Row],[Signup_Date]])</f>
        <v>2025</v>
      </c>
      <c r="N187" t="str">
        <f>TEXT(Scaleflow[[#This Row],[Signup_Date]],"MMM")</f>
        <v>Apr</v>
      </c>
      <c r="O187" t="str">
        <f>IF(Scaleflow[[#This Row],[Monthly_Revenue]]=0,"Free","Paid")</f>
        <v>Paid</v>
      </c>
      <c r="P187">
        <f>YEAR(Scaleflow[[#This Row],[TransactionDate]])</f>
        <v>2025</v>
      </c>
      <c r="Q187">
        <f>MONTH(Scaleflow[[#This Row],[TransactionDate]])</f>
        <v>8</v>
      </c>
      <c r="R187" t="str">
        <f>TEXT(Scaleflow[[#This Row],[TransactionDate]],"MMM")</f>
        <v>Aug</v>
      </c>
    </row>
    <row r="188" spans="1:18" x14ac:dyDescent="0.3">
      <c r="A188" t="s">
        <v>222</v>
      </c>
      <c r="B188" s="1">
        <v>45336</v>
      </c>
      <c r="C188" s="1">
        <v>45561</v>
      </c>
      <c r="D188" t="s">
        <v>24</v>
      </c>
      <c r="E188" t="s">
        <v>41</v>
      </c>
      <c r="F188" t="s">
        <v>14</v>
      </c>
      <c r="G188" s="2">
        <v>0</v>
      </c>
      <c r="H188" t="s">
        <v>30</v>
      </c>
      <c r="I188" t="s">
        <v>27</v>
      </c>
      <c r="J188">
        <v>5</v>
      </c>
      <c r="K188" t="s">
        <v>17</v>
      </c>
      <c r="L188" t="s">
        <v>18</v>
      </c>
      <c r="M188">
        <f>YEAR(Scaleflow[[#This Row],[Signup_Date]])</f>
        <v>2024</v>
      </c>
      <c r="N188" t="str">
        <f>TEXT(Scaleflow[[#This Row],[Signup_Date]],"MMM")</f>
        <v>Feb</v>
      </c>
      <c r="O188" t="str">
        <f>IF(Scaleflow[[#This Row],[Monthly_Revenue]]=0,"Free","Paid")</f>
        <v>Free</v>
      </c>
      <c r="P188">
        <f>YEAR(Scaleflow[[#This Row],[TransactionDate]])</f>
        <v>2024</v>
      </c>
      <c r="Q188">
        <f>MONTH(Scaleflow[[#This Row],[TransactionDate]])</f>
        <v>9</v>
      </c>
      <c r="R188" t="str">
        <f>TEXT(Scaleflow[[#This Row],[TransactionDate]],"MMM")</f>
        <v>Sep</v>
      </c>
    </row>
    <row r="189" spans="1:18" x14ac:dyDescent="0.3">
      <c r="A189" t="s">
        <v>223</v>
      </c>
      <c r="B189" s="1">
        <v>44961</v>
      </c>
      <c r="C189" s="1">
        <v>45925</v>
      </c>
      <c r="D189" t="s">
        <v>12</v>
      </c>
      <c r="E189" t="s">
        <v>21</v>
      </c>
      <c r="F189" t="s">
        <v>14</v>
      </c>
      <c r="G189" s="2">
        <v>0</v>
      </c>
      <c r="H189" t="s">
        <v>22</v>
      </c>
      <c r="I189" t="s">
        <v>42</v>
      </c>
      <c r="J189">
        <v>3</v>
      </c>
      <c r="K189" t="s">
        <v>17</v>
      </c>
      <c r="L189" t="s">
        <v>18</v>
      </c>
      <c r="M189">
        <f>YEAR(Scaleflow[[#This Row],[Signup_Date]])</f>
        <v>2023</v>
      </c>
      <c r="N189" t="str">
        <f>TEXT(Scaleflow[[#This Row],[Signup_Date]],"MMM")</f>
        <v>Feb</v>
      </c>
      <c r="O189" t="str">
        <f>IF(Scaleflow[[#This Row],[Monthly_Revenue]]=0,"Free","Paid")</f>
        <v>Free</v>
      </c>
      <c r="P189">
        <f>YEAR(Scaleflow[[#This Row],[TransactionDate]])</f>
        <v>2025</v>
      </c>
      <c r="Q189">
        <f>MONTH(Scaleflow[[#This Row],[TransactionDate]])</f>
        <v>9</v>
      </c>
      <c r="R189" t="str">
        <f>TEXT(Scaleflow[[#This Row],[TransactionDate]],"MMM")</f>
        <v>Sep</v>
      </c>
    </row>
    <row r="190" spans="1:18" x14ac:dyDescent="0.3">
      <c r="A190" t="s">
        <v>224</v>
      </c>
      <c r="B190" s="1">
        <v>45788</v>
      </c>
      <c r="C190" s="1">
        <v>45792</v>
      </c>
      <c r="D190" t="s">
        <v>24</v>
      </c>
      <c r="E190" t="s">
        <v>41</v>
      </c>
      <c r="F190" t="s">
        <v>12</v>
      </c>
      <c r="G190" s="2">
        <v>155824</v>
      </c>
      <c r="H190" t="s">
        <v>30</v>
      </c>
      <c r="I190" t="s">
        <v>16</v>
      </c>
      <c r="J190">
        <v>3</v>
      </c>
      <c r="K190" t="s">
        <v>18</v>
      </c>
      <c r="L190" t="s">
        <v>17</v>
      </c>
      <c r="M190">
        <f>YEAR(Scaleflow[[#This Row],[Signup_Date]])</f>
        <v>2025</v>
      </c>
      <c r="N190" t="str">
        <f>TEXT(Scaleflow[[#This Row],[Signup_Date]],"MMM")</f>
        <v>May</v>
      </c>
      <c r="O190" t="str">
        <f>IF(Scaleflow[[#This Row],[Monthly_Revenue]]=0,"Free","Paid")</f>
        <v>Paid</v>
      </c>
      <c r="P190">
        <f>YEAR(Scaleflow[[#This Row],[TransactionDate]])</f>
        <v>2025</v>
      </c>
      <c r="Q190">
        <f>MONTH(Scaleflow[[#This Row],[TransactionDate]])</f>
        <v>5</v>
      </c>
      <c r="R190" t="str">
        <f>TEXT(Scaleflow[[#This Row],[TransactionDate]],"MMM")</f>
        <v>May</v>
      </c>
    </row>
    <row r="191" spans="1:18" x14ac:dyDescent="0.3">
      <c r="A191" t="s">
        <v>225</v>
      </c>
      <c r="B191" s="1">
        <v>45711</v>
      </c>
      <c r="C191" s="1">
        <v>45882</v>
      </c>
      <c r="D191" t="s">
        <v>12</v>
      </c>
      <c r="E191" t="s">
        <v>41</v>
      </c>
      <c r="F191" t="s">
        <v>14</v>
      </c>
      <c r="G191" s="2">
        <v>0</v>
      </c>
      <c r="H191" t="s">
        <v>22</v>
      </c>
      <c r="I191" t="s">
        <v>42</v>
      </c>
      <c r="J191">
        <v>1</v>
      </c>
      <c r="K191" t="s">
        <v>18</v>
      </c>
      <c r="L191" t="s">
        <v>17</v>
      </c>
      <c r="M191">
        <f>YEAR(Scaleflow[[#This Row],[Signup_Date]])</f>
        <v>2025</v>
      </c>
      <c r="N191" t="str">
        <f>TEXT(Scaleflow[[#This Row],[Signup_Date]],"MMM")</f>
        <v>Feb</v>
      </c>
      <c r="O191" t="str">
        <f>IF(Scaleflow[[#This Row],[Monthly_Revenue]]=0,"Free","Paid")</f>
        <v>Free</v>
      </c>
      <c r="P191">
        <f>YEAR(Scaleflow[[#This Row],[TransactionDate]])</f>
        <v>2025</v>
      </c>
      <c r="Q191">
        <f>MONTH(Scaleflow[[#This Row],[TransactionDate]])</f>
        <v>8</v>
      </c>
      <c r="R191" t="str">
        <f>TEXT(Scaleflow[[#This Row],[TransactionDate]],"MMM")</f>
        <v>Aug</v>
      </c>
    </row>
    <row r="192" spans="1:18" x14ac:dyDescent="0.3">
      <c r="A192" t="s">
        <v>226</v>
      </c>
      <c r="B192" s="1">
        <v>45704</v>
      </c>
      <c r="C192" s="1">
        <v>45974</v>
      </c>
      <c r="D192" t="s">
        <v>12</v>
      </c>
      <c r="E192" t="s">
        <v>39</v>
      </c>
      <c r="F192" t="s">
        <v>46</v>
      </c>
      <c r="G192" s="2">
        <v>49639</v>
      </c>
      <c r="H192" t="s">
        <v>34</v>
      </c>
      <c r="I192" t="s">
        <v>27</v>
      </c>
      <c r="J192">
        <v>0</v>
      </c>
      <c r="K192" t="s">
        <v>18</v>
      </c>
      <c r="L192" t="s">
        <v>17</v>
      </c>
      <c r="M192">
        <f>YEAR(Scaleflow[[#This Row],[Signup_Date]])</f>
        <v>2025</v>
      </c>
      <c r="N192" t="str">
        <f>TEXT(Scaleflow[[#This Row],[Signup_Date]],"MMM")</f>
        <v>Feb</v>
      </c>
      <c r="O192" t="str">
        <f>IF(Scaleflow[[#This Row],[Monthly_Revenue]]=0,"Free","Paid")</f>
        <v>Paid</v>
      </c>
      <c r="P192">
        <f>YEAR(Scaleflow[[#This Row],[TransactionDate]])</f>
        <v>2025</v>
      </c>
      <c r="Q192">
        <f>MONTH(Scaleflow[[#This Row],[TransactionDate]])</f>
        <v>11</v>
      </c>
      <c r="R192" t="str">
        <f>TEXT(Scaleflow[[#This Row],[TransactionDate]],"MMM")</f>
        <v>Nov</v>
      </c>
    </row>
    <row r="193" spans="1:18" x14ac:dyDescent="0.3">
      <c r="A193" t="s">
        <v>227</v>
      </c>
      <c r="B193" s="1">
        <v>45803</v>
      </c>
      <c r="C193" s="1">
        <v>45959</v>
      </c>
      <c r="D193" t="s">
        <v>12</v>
      </c>
      <c r="E193" t="s">
        <v>13</v>
      </c>
      <c r="F193" t="s">
        <v>12</v>
      </c>
      <c r="G193" s="2">
        <v>168988</v>
      </c>
      <c r="H193" t="s">
        <v>30</v>
      </c>
      <c r="I193" t="s">
        <v>42</v>
      </c>
      <c r="J193">
        <v>4</v>
      </c>
      <c r="K193" t="s">
        <v>18</v>
      </c>
      <c r="L193" t="s">
        <v>17</v>
      </c>
      <c r="M193">
        <f>YEAR(Scaleflow[[#This Row],[Signup_Date]])</f>
        <v>2025</v>
      </c>
      <c r="N193" t="str">
        <f>TEXT(Scaleflow[[#This Row],[Signup_Date]],"MMM")</f>
        <v>May</v>
      </c>
      <c r="O193" t="str">
        <f>IF(Scaleflow[[#This Row],[Monthly_Revenue]]=0,"Free","Paid")</f>
        <v>Paid</v>
      </c>
      <c r="P193">
        <f>YEAR(Scaleflow[[#This Row],[TransactionDate]])</f>
        <v>2025</v>
      </c>
      <c r="Q193">
        <f>MONTH(Scaleflow[[#This Row],[TransactionDate]])</f>
        <v>10</v>
      </c>
      <c r="R193" t="str">
        <f>TEXT(Scaleflow[[#This Row],[TransactionDate]],"MMM")</f>
        <v>Oct</v>
      </c>
    </row>
    <row r="194" spans="1:18" x14ac:dyDescent="0.3">
      <c r="A194" t="s">
        <v>228</v>
      </c>
      <c r="B194" s="1">
        <v>45693</v>
      </c>
      <c r="C194" s="1">
        <v>45917</v>
      </c>
      <c r="D194" t="s">
        <v>20</v>
      </c>
      <c r="E194" t="s">
        <v>25</v>
      </c>
      <c r="F194" t="s">
        <v>29</v>
      </c>
      <c r="G194" s="2">
        <v>11044</v>
      </c>
      <c r="H194" t="s">
        <v>26</v>
      </c>
      <c r="I194" t="s">
        <v>36</v>
      </c>
      <c r="J194">
        <v>4</v>
      </c>
      <c r="K194" t="s">
        <v>18</v>
      </c>
      <c r="L194" t="s">
        <v>17</v>
      </c>
      <c r="M194">
        <f>YEAR(Scaleflow[[#This Row],[Signup_Date]])</f>
        <v>2025</v>
      </c>
      <c r="N194" t="str">
        <f>TEXT(Scaleflow[[#This Row],[Signup_Date]],"MMM")</f>
        <v>Feb</v>
      </c>
      <c r="O194" t="str">
        <f>IF(Scaleflow[[#This Row],[Monthly_Revenue]]=0,"Free","Paid")</f>
        <v>Paid</v>
      </c>
      <c r="P194">
        <f>YEAR(Scaleflow[[#This Row],[TransactionDate]])</f>
        <v>2025</v>
      </c>
      <c r="Q194">
        <f>MONTH(Scaleflow[[#This Row],[TransactionDate]])</f>
        <v>9</v>
      </c>
      <c r="R194" t="str">
        <f>TEXT(Scaleflow[[#This Row],[TransactionDate]],"MMM")</f>
        <v>Sep</v>
      </c>
    </row>
    <row r="195" spans="1:18" x14ac:dyDescent="0.3">
      <c r="A195" t="s">
        <v>229</v>
      </c>
      <c r="B195" s="1">
        <v>45076</v>
      </c>
      <c r="C195" s="1">
        <v>45188</v>
      </c>
      <c r="D195" t="s">
        <v>20</v>
      </c>
      <c r="E195" t="s">
        <v>21</v>
      </c>
      <c r="F195" t="s">
        <v>14</v>
      </c>
      <c r="G195" s="2">
        <v>0</v>
      </c>
      <c r="H195" t="s">
        <v>30</v>
      </c>
      <c r="I195" t="s">
        <v>16</v>
      </c>
      <c r="J195">
        <v>4</v>
      </c>
      <c r="K195" t="s">
        <v>17</v>
      </c>
      <c r="L195" t="s">
        <v>18</v>
      </c>
      <c r="M195">
        <f>YEAR(Scaleflow[[#This Row],[Signup_Date]])</f>
        <v>2023</v>
      </c>
      <c r="N195" t="str">
        <f>TEXT(Scaleflow[[#This Row],[Signup_Date]],"MMM")</f>
        <v>May</v>
      </c>
      <c r="O195" t="str">
        <f>IF(Scaleflow[[#This Row],[Monthly_Revenue]]=0,"Free","Paid")</f>
        <v>Free</v>
      </c>
      <c r="P195">
        <f>YEAR(Scaleflow[[#This Row],[TransactionDate]])</f>
        <v>2023</v>
      </c>
      <c r="Q195">
        <f>MONTH(Scaleflow[[#This Row],[TransactionDate]])</f>
        <v>9</v>
      </c>
      <c r="R195" t="str">
        <f>TEXT(Scaleflow[[#This Row],[TransactionDate]],"MMM")</f>
        <v>Sep</v>
      </c>
    </row>
    <row r="196" spans="1:18" x14ac:dyDescent="0.3">
      <c r="A196" t="s">
        <v>230</v>
      </c>
      <c r="B196" s="1">
        <v>44956</v>
      </c>
      <c r="C196" s="1">
        <v>45763</v>
      </c>
      <c r="D196" t="s">
        <v>24</v>
      </c>
      <c r="E196" t="s">
        <v>41</v>
      </c>
      <c r="F196" t="s">
        <v>46</v>
      </c>
      <c r="G196" s="2">
        <v>32036</v>
      </c>
      <c r="H196" t="s">
        <v>49</v>
      </c>
      <c r="I196" t="s">
        <v>16</v>
      </c>
      <c r="J196">
        <v>1</v>
      </c>
      <c r="K196" t="s">
        <v>18</v>
      </c>
      <c r="L196" t="s">
        <v>17</v>
      </c>
      <c r="M196">
        <f>YEAR(Scaleflow[[#This Row],[Signup_Date]])</f>
        <v>2023</v>
      </c>
      <c r="N196" t="str">
        <f>TEXT(Scaleflow[[#This Row],[Signup_Date]],"MMM")</f>
        <v>Jan</v>
      </c>
      <c r="O196" t="str">
        <f>IF(Scaleflow[[#This Row],[Monthly_Revenue]]=0,"Free","Paid")</f>
        <v>Paid</v>
      </c>
      <c r="P196">
        <f>YEAR(Scaleflow[[#This Row],[TransactionDate]])</f>
        <v>2025</v>
      </c>
      <c r="Q196">
        <f>MONTH(Scaleflow[[#This Row],[TransactionDate]])</f>
        <v>4</v>
      </c>
      <c r="R196" t="str">
        <f>TEXT(Scaleflow[[#This Row],[TransactionDate]],"MMM")</f>
        <v>Apr</v>
      </c>
    </row>
    <row r="197" spans="1:18" x14ac:dyDescent="0.3">
      <c r="A197" t="s">
        <v>231</v>
      </c>
      <c r="B197" s="1">
        <v>45829</v>
      </c>
      <c r="C197" s="1">
        <v>45954</v>
      </c>
      <c r="D197" t="s">
        <v>12</v>
      </c>
      <c r="E197" t="s">
        <v>13</v>
      </c>
      <c r="F197" t="s">
        <v>14</v>
      </c>
      <c r="G197" s="2">
        <v>0</v>
      </c>
      <c r="H197" t="s">
        <v>26</v>
      </c>
      <c r="I197" t="s">
        <v>16</v>
      </c>
      <c r="J197">
        <v>3</v>
      </c>
      <c r="K197" t="s">
        <v>18</v>
      </c>
      <c r="L197" t="s">
        <v>17</v>
      </c>
      <c r="M197">
        <f>YEAR(Scaleflow[[#This Row],[Signup_Date]])</f>
        <v>2025</v>
      </c>
      <c r="N197" t="str">
        <f>TEXT(Scaleflow[[#This Row],[Signup_Date]],"MMM")</f>
        <v>Jun</v>
      </c>
      <c r="O197" t="str">
        <f>IF(Scaleflow[[#This Row],[Monthly_Revenue]]=0,"Free","Paid")</f>
        <v>Free</v>
      </c>
      <c r="P197">
        <f>YEAR(Scaleflow[[#This Row],[TransactionDate]])</f>
        <v>2025</v>
      </c>
      <c r="Q197">
        <f>MONTH(Scaleflow[[#This Row],[TransactionDate]])</f>
        <v>10</v>
      </c>
      <c r="R197" t="str">
        <f>TEXT(Scaleflow[[#This Row],[TransactionDate]],"MMM")</f>
        <v>Oct</v>
      </c>
    </row>
    <row r="198" spans="1:18" x14ac:dyDescent="0.3">
      <c r="A198" t="s">
        <v>232</v>
      </c>
      <c r="B198" s="1">
        <v>45462</v>
      </c>
      <c r="C198" s="1">
        <v>45497</v>
      </c>
      <c r="D198" t="s">
        <v>24</v>
      </c>
      <c r="E198" t="s">
        <v>21</v>
      </c>
      <c r="F198" t="s">
        <v>14</v>
      </c>
      <c r="G198" s="2">
        <v>0</v>
      </c>
      <c r="H198" t="s">
        <v>26</v>
      </c>
      <c r="I198" t="s">
        <v>42</v>
      </c>
      <c r="J198">
        <v>5</v>
      </c>
      <c r="K198" t="s">
        <v>17</v>
      </c>
      <c r="L198" t="s">
        <v>18</v>
      </c>
      <c r="M198">
        <f>YEAR(Scaleflow[[#This Row],[Signup_Date]])</f>
        <v>2024</v>
      </c>
      <c r="N198" t="str">
        <f>TEXT(Scaleflow[[#This Row],[Signup_Date]],"MMM")</f>
        <v>Jun</v>
      </c>
      <c r="O198" t="str">
        <f>IF(Scaleflow[[#This Row],[Monthly_Revenue]]=0,"Free","Paid")</f>
        <v>Free</v>
      </c>
      <c r="P198">
        <f>YEAR(Scaleflow[[#This Row],[TransactionDate]])</f>
        <v>2024</v>
      </c>
      <c r="Q198">
        <f>MONTH(Scaleflow[[#This Row],[TransactionDate]])</f>
        <v>7</v>
      </c>
      <c r="R198" t="str">
        <f>TEXT(Scaleflow[[#This Row],[TransactionDate]],"MMM")</f>
        <v>Jul</v>
      </c>
    </row>
    <row r="199" spans="1:18" x14ac:dyDescent="0.3">
      <c r="A199" t="s">
        <v>233</v>
      </c>
      <c r="B199" s="1">
        <v>45766</v>
      </c>
      <c r="C199" s="1">
        <v>45972</v>
      </c>
      <c r="D199" t="s">
        <v>24</v>
      </c>
      <c r="E199" t="s">
        <v>25</v>
      </c>
      <c r="F199" t="s">
        <v>14</v>
      </c>
      <c r="G199" s="2">
        <v>0</v>
      </c>
      <c r="H199" t="s">
        <v>30</v>
      </c>
      <c r="I199" t="s">
        <v>31</v>
      </c>
      <c r="J199">
        <v>4</v>
      </c>
      <c r="K199" t="s">
        <v>18</v>
      </c>
      <c r="L199" t="s">
        <v>17</v>
      </c>
      <c r="M199">
        <f>YEAR(Scaleflow[[#This Row],[Signup_Date]])</f>
        <v>2025</v>
      </c>
      <c r="N199" t="str">
        <f>TEXT(Scaleflow[[#This Row],[Signup_Date]],"MMM")</f>
        <v>Apr</v>
      </c>
      <c r="O199" t="str">
        <f>IF(Scaleflow[[#This Row],[Monthly_Revenue]]=0,"Free","Paid")</f>
        <v>Free</v>
      </c>
      <c r="P199">
        <f>YEAR(Scaleflow[[#This Row],[TransactionDate]])</f>
        <v>2025</v>
      </c>
      <c r="Q199">
        <f>MONTH(Scaleflow[[#This Row],[TransactionDate]])</f>
        <v>11</v>
      </c>
      <c r="R199" t="str">
        <f>TEXT(Scaleflow[[#This Row],[TransactionDate]],"MMM")</f>
        <v>Nov</v>
      </c>
    </row>
    <row r="200" spans="1:18" x14ac:dyDescent="0.3">
      <c r="A200" t="s">
        <v>234</v>
      </c>
      <c r="B200" s="1">
        <v>45342</v>
      </c>
      <c r="C200" s="1">
        <v>45854</v>
      </c>
      <c r="D200" t="s">
        <v>24</v>
      </c>
      <c r="E200" t="s">
        <v>21</v>
      </c>
      <c r="F200" t="s">
        <v>14</v>
      </c>
      <c r="G200" s="2">
        <v>0</v>
      </c>
      <c r="H200" t="s">
        <v>30</v>
      </c>
      <c r="I200" t="s">
        <v>36</v>
      </c>
      <c r="J200">
        <v>1</v>
      </c>
      <c r="K200" t="s">
        <v>18</v>
      </c>
      <c r="L200" t="s">
        <v>17</v>
      </c>
      <c r="M200">
        <f>YEAR(Scaleflow[[#This Row],[Signup_Date]])</f>
        <v>2024</v>
      </c>
      <c r="N200" t="str">
        <f>TEXT(Scaleflow[[#This Row],[Signup_Date]],"MMM")</f>
        <v>Feb</v>
      </c>
      <c r="O200" t="str">
        <f>IF(Scaleflow[[#This Row],[Monthly_Revenue]]=0,"Free","Paid")</f>
        <v>Free</v>
      </c>
      <c r="P200">
        <f>YEAR(Scaleflow[[#This Row],[TransactionDate]])</f>
        <v>2025</v>
      </c>
      <c r="Q200">
        <f>MONTH(Scaleflow[[#This Row],[TransactionDate]])</f>
        <v>7</v>
      </c>
      <c r="R200" t="str">
        <f>TEXT(Scaleflow[[#This Row],[TransactionDate]],"MMM")</f>
        <v>Jul</v>
      </c>
    </row>
    <row r="201" spans="1:18" x14ac:dyDescent="0.3">
      <c r="A201" t="s">
        <v>235</v>
      </c>
      <c r="B201" s="1">
        <v>45058</v>
      </c>
      <c r="C201" s="1">
        <v>45634</v>
      </c>
      <c r="D201" t="s">
        <v>24</v>
      </c>
      <c r="E201" t="s">
        <v>41</v>
      </c>
      <c r="F201" t="s">
        <v>46</v>
      </c>
      <c r="G201" s="2">
        <v>34215</v>
      </c>
      <c r="H201" t="s">
        <v>30</v>
      </c>
      <c r="I201" t="s">
        <v>36</v>
      </c>
      <c r="J201">
        <v>4</v>
      </c>
      <c r="K201" t="s">
        <v>17</v>
      </c>
      <c r="L201" t="s">
        <v>18</v>
      </c>
      <c r="M201">
        <f>YEAR(Scaleflow[[#This Row],[Signup_Date]])</f>
        <v>2023</v>
      </c>
      <c r="N201" t="str">
        <f>TEXT(Scaleflow[[#This Row],[Signup_Date]],"MMM")</f>
        <v>May</v>
      </c>
      <c r="O201" t="str">
        <f>IF(Scaleflow[[#This Row],[Monthly_Revenue]]=0,"Free","Paid")</f>
        <v>Paid</v>
      </c>
      <c r="P201">
        <f>YEAR(Scaleflow[[#This Row],[TransactionDate]])</f>
        <v>2024</v>
      </c>
      <c r="Q201">
        <f>MONTH(Scaleflow[[#This Row],[TransactionDate]])</f>
        <v>12</v>
      </c>
      <c r="R201" t="str">
        <f>TEXT(Scaleflow[[#This Row],[TransactionDate]],"MMM")</f>
        <v>Dec</v>
      </c>
    </row>
    <row r="202" spans="1:18" x14ac:dyDescent="0.3">
      <c r="A202" t="s">
        <v>236</v>
      </c>
      <c r="B202" s="1">
        <v>45059</v>
      </c>
      <c r="C202" s="1">
        <v>45900</v>
      </c>
      <c r="D202" t="s">
        <v>12</v>
      </c>
      <c r="E202" t="s">
        <v>25</v>
      </c>
      <c r="F202" t="s">
        <v>12</v>
      </c>
      <c r="G202" s="2">
        <v>129088</v>
      </c>
      <c r="H202" t="s">
        <v>15</v>
      </c>
      <c r="I202" t="s">
        <v>27</v>
      </c>
      <c r="J202">
        <v>4</v>
      </c>
      <c r="K202" t="s">
        <v>18</v>
      </c>
      <c r="L202" t="s">
        <v>17</v>
      </c>
      <c r="M202">
        <f>YEAR(Scaleflow[[#This Row],[Signup_Date]])</f>
        <v>2023</v>
      </c>
      <c r="N202" t="str">
        <f>TEXT(Scaleflow[[#This Row],[Signup_Date]],"MMM")</f>
        <v>May</v>
      </c>
      <c r="O202" t="str">
        <f>IF(Scaleflow[[#This Row],[Monthly_Revenue]]=0,"Free","Paid")</f>
        <v>Paid</v>
      </c>
      <c r="P202">
        <f>YEAR(Scaleflow[[#This Row],[TransactionDate]])</f>
        <v>2025</v>
      </c>
      <c r="Q202">
        <f>MONTH(Scaleflow[[#This Row],[TransactionDate]])</f>
        <v>8</v>
      </c>
      <c r="R202" t="str">
        <f>TEXT(Scaleflow[[#This Row],[TransactionDate]],"MMM")</f>
        <v>Aug</v>
      </c>
    </row>
    <row r="203" spans="1:18" x14ac:dyDescent="0.3">
      <c r="A203" t="s">
        <v>237</v>
      </c>
      <c r="B203" s="1">
        <v>45013</v>
      </c>
      <c r="C203" s="1">
        <v>45655</v>
      </c>
      <c r="D203" t="s">
        <v>20</v>
      </c>
      <c r="E203" t="s">
        <v>25</v>
      </c>
      <c r="F203" t="s">
        <v>12</v>
      </c>
      <c r="G203" s="2">
        <v>219752</v>
      </c>
      <c r="H203" t="s">
        <v>15</v>
      </c>
      <c r="I203" t="s">
        <v>16</v>
      </c>
      <c r="J203">
        <v>4</v>
      </c>
      <c r="K203" t="s">
        <v>17</v>
      </c>
      <c r="L203" t="s">
        <v>18</v>
      </c>
      <c r="M203">
        <f>YEAR(Scaleflow[[#This Row],[Signup_Date]])</f>
        <v>2023</v>
      </c>
      <c r="N203" t="str">
        <f>TEXT(Scaleflow[[#This Row],[Signup_Date]],"MMM")</f>
        <v>Mar</v>
      </c>
      <c r="O203" t="str">
        <f>IF(Scaleflow[[#This Row],[Monthly_Revenue]]=0,"Free","Paid")</f>
        <v>Paid</v>
      </c>
      <c r="P203">
        <f>YEAR(Scaleflow[[#This Row],[TransactionDate]])</f>
        <v>2024</v>
      </c>
      <c r="Q203">
        <f>MONTH(Scaleflow[[#This Row],[TransactionDate]])</f>
        <v>12</v>
      </c>
      <c r="R203" t="str">
        <f>TEXT(Scaleflow[[#This Row],[TransactionDate]],"MMM")</f>
        <v>Dec</v>
      </c>
    </row>
    <row r="204" spans="1:18" x14ac:dyDescent="0.3">
      <c r="A204" t="s">
        <v>238</v>
      </c>
      <c r="B204" s="1">
        <v>45735</v>
      </c>
      <c r="C204" s="1">
        <v>45965</v>
      </c>
      <c r="D204" t="s">
        <v>20</v>
      </c>
      <c r="E204" t="s">
        <v>21</v>
      </c>
      <c r="F204" t="s">
        <v>12</v>
      </c>
      <c r="G204" s="2">
        <v>232473</v>
      </c>
      <c r="H204" t="s">
        <v>49</v>
      </c>
      <c r="I204" t="s">
        <v>31</v>
      </c>
      <c r="J204">
        <v>1</v>
      </c>
      <c r="K204" t="s">
        <v>17</v>
      </c>
      <c r="L204" t="s">
        <v>18</v>
      </c>
      <c r="M204">
        <f>YEAR(Scaleflow[[#This Row],[Signup_Date]])</f>
        <v>2025</v>
      </c>
      <c r="N204" t="str">
        <f>TEXT(Scaleflow[[#This Row],[Signup_Date]],"MMM")</f>
        <v>Mar</v>
      </c>
      <c r="O204" t="str">
        <f>IF(Scaleflow[[#This Row],[Monthly_Revenue]]=0,"Free","Paid")</f>
        <v>Paid</v>
      </c>
      <c r="P204">
        <f>YEAR(Scaleflow[[#This Row],[TransactionDate]])</f>
        <v>2025</v>
      </c>
      <c r="Q204">
        <f>MONTH(Scaleflow[[#This Row],[TransactionDate]])</f>
        <v>11</v>
      </c>
      <c r="R204" t="str">
        <f>TEXT(Scaleflow[[#This Row],[TransactionDate]],"MMM")</f>
        <v>Nov</v>
      </c>
    </row>
    <row r="205" spans="1:18" x14ac:dyDescent="0.3">
      <c r="A205" t="s">
        <v>239</v>
      </c>
      <c r="B205" s="1">
        <v>45749</v>
      </c>
      <c r="C205" s="1">
        <v>45905</v>
      </c>
      <c r="D205" t="s">
        <v>24</v>
      </c>
      <c r="E205" t="s">
        <v>21</v>
      </c>
      <c r="F205" t="s">
        <v>12</v>
      </c>
      <c r="G205" s="2">
        <v>108301</v>
      </c>
      <c r="H205" t="s">
        <v>15</v>
      </c>
      <c r="I205" t="s">
        <v>31</v>
      </c>
      <c r="J205">
        <v>2</v>
      </c>
      <c r="K205" t="s">
        <v>18</v>
      </c>
      <c r="L205" t="s">
        <v>17</v>
      </c>
      <c r="M205">
        <f>YEAR(Scaleflow[[#This Row],[Signup_Date]])</f>
        <v>2025</v>
      </c>
      <c r="N205" t="str">
        <f>TEXT(Scaleflow[[#This Row],[Signup_Date]],"MMM")</f>
        <v>Apr</v>
      </c>
      <c r="O205" t="str">
        <f>IF(Scaleflow[[#This Row],[Monthly_Revenue]]=0,"Free","Paid")</f>
        <v>Paid</v>
      </c>
      <c r="P205">
        <f>YEAR(Scaleflow[[#This Row],[TransactionDate]])</f>
        <v>2025</v>
      </c>
      <c r="Q205">
        <f>MONTH(Scaleflow[[#This Row],[TransactionDate]])</f>
        <v>9</v>
      </c>
      <c r="R205" t="str">
        <f>TEXT(Scaleflow[[#This Row],[TransactionDate]],"MMM")</f>
        <v>Sep</v>
      </c>
    </row>
    <row r="206" spans="1:18" x14ac:dyDescent="0.3">
      <c r="A206" t="s">
        <v>240</v>
      </c>
      <c r="B206" s="1">
        <v>45205</v>
      </c>
      <c r="C206" s="1">
        <v>45640</v>
      </c>
      <c r="D206" t="s">
        <v>20</v>
      </c>
      <c r="E206" t="s">
        <v>13</v>
      </c>
      <c r="F206" t="s">
        <v>14</v>
      </c>
      <c r="G206" s="2">
        <v>0</v>
      </c>
      <c r="H206" t="s">
        <v>34</v>
      </c>
      <c r="I206" t="s">
        <v>31</v>
      </c>
      <c r="J206">
        <v>4</v>
      </c>
      <c r="K206" t="s">
        <v>18</v>
      </c>
      <c r="L206" t="s">
        <v>17</v>
      </c>
      <c r="M206">
        <f>YEAR(Scaleflow[[#This Row],[Signup_Date]])</f>
        <v>2023</v>
      </c>
      <c r="N206" t="str">
        <f>TEXT(Scaleflow[[#This Row],[Signup_Date]],"MMM")</f>
        <v>Oct</v>
      </c>
      <c r="O206" t="str">
        <f>IF(Scaleflow[[#This Row],[Monthly_Revenue]]=0,"Free","Paid")</f>
        <v>Free</v>
      </c>
      <c r="P206">
        <f>YEAR(Scaleflow[[#This Row],[TransactionDate]])</f>
        <v>2024</v>
      </c>
      <c r="Q206">
        <f>MONTH(Scaleflow[[#This Row],[TransactionDate]])</f>
        <v>12</v>
      </c>
      <c r="R206" t="str">
        <f>TEXT(Scaleflow[[#This Row],[TransactionDate]],"MMM")</f>
        <v>Dec</v>
      </c>
    </row>
    <row r="207" spans="1:18" x14ac:dyDescent="0.3">
      <c r="A207" t="s">
        <v>241</v>
      </c>
      <c r="B207" s="1">
        <v>45176</v>
      </c>
      <c r="C207" s="1">
        <v>45580</v>
      </c>
      <c r="D207" t="s">
        <v>20</v>
      </c>
      <c r="E207" t="s">
        <v>33</v>
      </c>
      <c r="F207" t="s">
        <v>29</v>
      </c>
      <c r="G207" s="2">
        <v>8869</v>
      </c>
      <c r="H207" t="s">
        <v>30</v>
      </c>
      <c r="I207" t="s">
        <v>27</v>
      </c>
      <c r="J207">
        <v>0</v>
      </c>
      <c r="K207" t="s">
        <v>18</v>
      </c>
      <c r="L207" t="s">
        <v>17</v>
      </c>
      <c r="M207">
        <f>YEAR(Scaleflow[[#This Row],[Signup_Date]])</f>
        <v>2023</v>
      </c>
      <c r="N207" t="str">
        <f>TEXT(Scaleflow[[#This Row],[Signup_Date]],"MMM")</f>
        <v>Sep</v>
      </c>
      <c r="O207" t="str">
        <f>IF(Scaleflow[[#This Row],[Monthly_Revenue]]=0,"Free","Paid")</f>
        <v>Paid</v>
      </c>
      <c r="P207">
        <f>YEAR(Scaleflow[[#This Row],[TransactionDate]])</f>
        <v>2024</v>
      </c>
      <c r="Q207">
        <f>MONTH(Scaleflow[[#This Row],[TransactionDate]])</f>
        <v>10</v>
      </c>
      <c r="R207" t="str">
        <f>TEXT(Scaleflow[[#This Row],[TransactionDate]],"MMM")</f>
        <v>Oct</v>
      </c>
    </row>
    <row r="208" spans="1:18" x14ac:dyDescent="0.3">
      <c r="A208" t="s">
        <v>242</v>
      </c>
      <c r="B208" s="1">
        <v>45886</v>
      </c>
      <c r="C208" s="1">
        <v>45945</v>
      </c>
      <c r="D208" t="s">
        <v>20</v>
      </c>
      <c r="E208" t="s">
        <v>33</v>
      </c>
      <c r="F208" t="s">
        <v>12</v>
      </c>
      <c r="G208" s="2">
        <v>140915</v>
      </c>
      <c r="H208" t="s">
        <v>49</v>
      </c>
      <c r="I208" t="s">
        <v>31</v>
      </c>
      <c r="J208">
        <v>2</v>
      </c>
      <c r="K208" t="s">
        <v>17</v>
      </c>
      <c r="L208" t="s">
        <v>18</v>
      </c>
      <c r="M208">
        <f>YEAR(Scaleflow[[#This Row],[Signup_Date]])</f>
        <v>2025</v>
      </c>
      <c r="N208" t="str">
        <f>TEXT(Scaleflow[[#This Row],[Signup_Date]],"MMM")</f>
        <v>Aug</v>
      </c>
      <c r="O208" t="str">
        <f>IF(Scaleflow[[#This Row],[Monthly_Revenue]]=0,"Free","Paid")</f>
        <v>Paid</v>
      </c>
      <c r="P208">
        <f>YEAR(Scaleflow[[#This Row],[TransactionDate]])</f>
        <v>2025</v>
      </c>
      <c r="Q208">
        <f>MONTH(Scaleflow[[#This Row],[TransactionDate]])</f>
        <v>10</v>
      </c>
      <c r="R208" t="str">
        <f>TEXT(Scaleflow[[#This Row],[TransactionDate]],"MMM")</f>
        <v>Oct</v>
      </c>
    </row>
    <row r="209" spans="1:18" x14ac:dyDescent="0.3">
      <c r="A209" t="s">
        <v>243</v>
      </c>
      <c r="B209" s="1">
        <v>45154</v>
      </c>
      <c r="C209" s="1">
        <v>45848</v>
      </c>
      <c r="D209" t="s">
        <v>24</v>
      </c>
      <c r="E209" t="s">
        <v>41</v>
      </c>
      <c r="F209" t="s">
        <v>14</v>
      </c>
      <c r="G209" s="2">
        <v>0</v>
      </c>
      <c r="H209" t="s">
        <v>30</v>
      </c>
      <c r="I209" t="s">
        <v>31</v>
      </c>
      <c r="J209">
        <v>3</v>
      </c>
      <c r="K209" t="s">
        <v>18</v>
      </c>
      <c r="L209" t="s">
        <v>17</v>
      </c>
      <c r="M209">
        <f>YEAR(Scaleflow[[#This Row],[Signup_Date]])</f>
        <v>2023</v>
      </c>
      <c r="N209" t="str">
        <f>TEXT(Scaleflow[[#This Row],[Signup_Date]],"MMM")</f>
        <v>Aug</v>
      </c>
      <c r="O209" t="str">
        <f>IF(Scaleflow[[#This Row],[Monthly_Revenue]]=0,"Free","Paid")</f>
        <v>Free</v>
      </c>
      <c r="P209">
        <f>YEAR(Scaleflow[[#This Row],[TransactionDate]])</f>
        <v>2025</v>
      </c>
      <c r="Q209">
        <f>MONTH(Scaleflow[[#This Row],[TransactionDate]])</f>
        <v>7</v>
      </c>
      <c r="R209" t="str">
        <f>TEXT(Scaleflow[[#This Row],[TransactionDate]],"MMM")</f>
        <v>Jul</v>
      </c>
    </row>
    <row r="210" spans="1:18" x14ac:dyDescent="0.3">
      <c r="A210" t="s">
        <v>244</v>
      </c>
      <c r="B210" s="1">
        <v>45108</v>
      </c>
      <c r="C210" s="1">
        <v>45309</v>
      </c>
      <c r="D210" t="s">
        <v>12</v>
      </c>
      <c r="E210" t="s">
        <v>39</v>
      </c>
      <c r="F210" t="s">
        <v>46</v>
      </c>
      <c r="G210" s="2">
        <v>46798</v>
      </c>
      <c r="H210" t="s">
        <v>34</v>
      </c>
      <c r="I210" t="s">
        <v>36</v>
      </c>
      <c r="J210">
        <v>0</v>
      </c>
      <c r="K210" t="s">
        <v>17</v>
      </c>
      <c r="L210" t="s">
        <v>18</v>
      </c>
      <c r="M210">
        <f>YEAR(Scaleflow[[#This Row],[Signup_Date]])</f>
        <v>2023</v>
      </c>
      <c r="N210" t="str">
        <f>TEXT(Scaleflow[[#This Row],[Signup_Date]],"MMM")</f>
        <v>Jul</v>
      </c>
      <c r="O210" t="str">
        <f>IF(Scaleflow[[#This Row],[Monthly_Revenue]]=0,"Free","Paid")</f>
        <v>Paid</v>
      </c>
      <c r="P210">
        <f>YEAR(Scaleflow[[#This Row],[TransactionDate]])</f>
        <v>2024</v>
      </c>
      <c r="Q210">
        <f>MONTH(Scaleflow[[#This Row],[TransactionDate]])</f>
        <v>1</v>
      </c>
      <c r="R210" t="str">
        <f>TEXT(Scaleflow[[#This Row],[TransactionDate]],"MMM")</f>
        <v>Jan</v>
      </c>
    </row>
    <row r="211" spans="1:18" x14ac:dyDescent="0.3">
      <c r="A211" t="s">
        <v>245</v>
      </c>
      <c r="B211" s="1">
        <v>45514</v>
      </c>
      <c r="C211" s="1">
        <v>45950</v>
      </c>
      <c r="D211" t="s">
        <v>20</v>
      </c>
      <c r="E211" t="s">
        <v>21</v>
      </c>
      <c r="F211" t="s">
        <v>12</v>
      </c>
      <c r="G211" s="2">
        <v>188732</v>
      </c>
      <c r="H211" t="s">
        <v>15</v>
      </c>
      <c r="I211" t="s">
        <v>36</v>
      </c>
      <c r="J211">
        <v>2</v>
      </c>
      <c r="K211" t="s">
        <v>18</v>
      </c>
      <c r="L211" t="s">
        <v>17</v>
      </c>
      <c r="M211">
        <f>YEAR(Scaleflow[[#This Row],[Signup_Date]])</f>
        <v>2024</v>
      </c>
      <c r="N211" t="str">
        <f>TEXT(Scaleflow[[#This Row],[Signup_Date]],"MMM")</f>
        <v>Aug</v>
      </c>
      <c r="O211" t="str">
        <f>IF(Scaleflow[[#This Row],[Monthly_Revenue]]=0,"Free","Paid")</f>
        <v>Paid</v>
      </c>
      <c r="P211">
        <f>YEAR(Scaleflow[[#This Row],[TransactionDate]])</f>
        <v>2025</v>
      </c>
      <c r="Q211">
        <f>MONTH(Scaleflow[[#This Row],[TransactionDate]])</f>
        <v>10</v>
      </c>
      <c r="R211" t="str">
        <f>TEXT(Scaleflow[[#This Row],[TransactionDate]],"MMM")</f>
        <v>Oct</v>
      </c>
    </row>
    <row r="212" spans="1:18" x14ac:dyDescent="0.3">
      <c r="A212" t="s">
        <v>246</v>
      </c>
      <c r="B212" s="1">
        <v>44935</v>
      </c>
      <c r="C212" s="1">
        <v>45302</v>
      </c>
      <c r="D212" t="s">
        <v>20</v>
      </c>
      <c r="E212" t="s">
        <v>25</v>
      </c>
      <c r="F212" t="s">
        <v>29</v>
      </c>
      <c r="G212" s="2">
        <v>8011</v>
      </c>
      <c r="H212" t="s">
        <v>15</v>
      </c>
      <c r="I212" t="s">
        <v>27</v>
      </c>
      <c r="J212">
        <v>3</v>
      </c>
      <c r="K212" t="s">
        <v>18</v>
      </c>
      <c r="L212" t="s">
        <v>17</v>
      </c>
      <c r="M212">
        <f>YEAR(Scaleflow[[#This Row],[Signup_Date]])</f>
        <v>2023</v>
      </c>
      <c r="N212" t="str">
        <f>TEXT(Scaleflow[[#This Row],[Signup_Date]],"MMM")</f>
        <v>Jan</v>
      </c>
      <c r="O212" t="str">
        <f>IF(Scaleflow[[#This Row],[Monthly_Revenue]]=0,"Free","Paid")</f>
        <v>Paid</v>
      </c>
      <c r="P212">
        <f>YEAR(Scaleflow[[#This Row],[TransactionDate]])</f>
        <v>2024</v>
      </c>
      <c r="Q212">
        <f>MONTH(Scaleflow[[#This Row],[TransactionDate]])</f>
        <v>1</v>
      </c>
      <c r="R212" t="str">
        <f>TEXT(Scaleflow[[#This Row],[TransactionDate]],"MMM")</f>
        <v>Jan</v>
      </c>
    </row>
    <row r="213" spans="1:18" x14ac:dyDescent="0.3">
      <c r="A213" t="s">
        <v>247</v>
      </c>
      <c r="B213" s="1">
        <v>45635</v>
      </c>
      <c r="C213" s="1">
        <v>45863</v>
      </c>
      <c r="D213" t="s">
        <v>20</v>
      </c>
      <c r="E213" t="s">
        <v>13</v>
      </c>
      <c r="F213" t="s">
        <v>29</v>
      </c>
      <c r="G213" s="2">
        <v>13695</v>
      </c>
      <c r="H213" t="s">
        <v>26</v>
      </c>
      <c r="I213" t="s">
        <v>31</v>
      </c>
      <c r="J213">
        <v>1</v>
      </c>
      <c r="K213" t="s">
        <v>18</v>
      </c>
      <c r="L213" t="s">
        <v>17</v>
      </c>
      <c r="M213">
        <f>YEAR(Scaleflow[[#This Row],[Signup_Date]])</f>
        <v>2024</v>
      </c>
      <c r="N213" t="str">
        <f>TEXT(Scaleflow[[#This Row],[Signup_Date]],"MMM")</f>
        <v>Dec</v>
      </c>
      <c r="O213" t="str">
        <f>IF(Scaleflow[[#This Row],[Monthly_Revenue]]=0,"Free","Paid")</f>
        <v>Paid</v>
      </c>
      <c r="P213">
        <f>YEAR(Scaleflow[[#This Row],[TransactionDate]])</f>
        <v>2025</v>
      </c>
      <c r="Q213">
        <f>MONTH(Scaleflow[[#This Row],[TransactionDate]])</f>
        <v>7</v>
      </c>
      <c r="R213" t="str">
        <f>TEXT(Scaleflow[[#This Row],[TransactionDate]],"MMM")</f>
        <v>Jul</v>
      </c>
    </row>
    <row r="214" spans="1:18" x14ac:dyDescent="0.3">
      <c r="A214" t="s">
        <v>248</v>
      </c>
      <c r="B214" s="1">
        <v>45391</v>
      </c>
      <c r="C214" s="1">
        <v>45751</v>
      </c>
      <c r="D214" t="s">
        <v>24</v>
      </c>
      <c r="E214" t="s">
        <v>41</v>
      </c>
      <c r="F214" t="s">
        <v>14</v>
      </c>
      <c r="G214" s="2">
        <v>0</v>
      </c>
      <c r="H214" t="s">
        <v>49</v>
      </c>
      <c r="I214" t="s">
        <v>42</v>
      </c>
      <c r="J214">
        <v>5</v>
      </c>
      <c r="K214" t="s">
        <v>18</v>
      </c>
      <c r="L214" t="s">
        <v>17</v>
      </c>
      <c r="M214">
        <f>YEAR(Scaleflow[[#This Row],[Signup_Date]])</f>
        <v>2024</v>
      </c>
      <c r="N214" t="str">
        <f>TEXT(Scaleflow[[#This Row],[Signup_Date]],"MMM")</f>
        <v>Apr</v>
      </c>
      <c r="O214" t="str">
        <f>IF(Scaleflow[[#This Row],[Monthly_Revenue]]=0,"Free","Paid")</f>
        <v>Free</v>
      </c>
      <c r="P214">
        <f>YEAR(Scaleflow[[#This Row],[TransactionDate]])</f>
        <v>2025</v>
      </c>
      <c r="Q214">
        <f>MONTH(Scaleflow[[#This Row],[TransactionDate]])</f>
        <v>4</v>
      </c>
      <c r="R214" t="str">
        <f>TEXT(Scaleflow[[#This Row],[TransactionDate]],"MMM")</f>
        <v>Apr</v>
      </c>
    </row>
    <row r="215" spans="1:18" x14ac:dyDescent="0.3">
      <c r="A215" t="s">
        <v>249</v>
      </c>
      <c r="B215" s="1">
        <v>45612</v>
      </c>
      <c r="C215" s="1">
        <v>45720</v>
      </c>
      <c r="D215" t="s">
        <v>12</v>
      </c>
      <c r="E215" t="s">
        <v>25</v>
      </c>
      <c r="F215" t="s">
        <v>14</v>
      </c>
      <c r="G215" s="2">
        <v>0</v>
      </c>
      <c r="H215" t="s">
        <v>34</v>
      </c>
      <c r="I215" t="s">
        <v>27</v>
      </c>
      <c r="J215">
        <v>0</v>
      </c>
      <c r="K215" t="s">
        <v>18</v>
      </c>
      <c r="L215" t="s">
        <v>17</v>
      </c>
      <c r="M215">
        <f>YEAR(Scaleflow[[#This Row],[Signup_Date]])</f>
        <v>2024</v>
      </c>
      <c r="N215" t="str">
        <f>TEXT(Scaleflow[[#This Row],[Signup_Date]],"MMM")</f>
        <v>Nov</v>
      </c>
      <c r="O215" t="str">
        <f>IF(Scaleflow[[#This Row],[Monthly_Revenue]]=0,"Free","Paid")</f>
        <v>Free</v>
      </c>
      <c r="P215">
        <f>YEAR(Scaleflow[[#This Row],[TransactionDate]])</f>
        <v>2025</v>
      </c>
      <c r="Q215">
        <f>MONTH(Scaleflow[[#This Row],[TransactionDate]])</f>
        <v>3</v>
      </c>
      <c r="R215" t="str">
        <f>TEXT(Scaleflow[[#This Row],[TransactionDate]],"MMM")</f>
        <v>Mar</v>
      </c>
    </row>
    <row r="216" spans="1:18" x14ac:dyDescent="0.3">
      <c r="A216" t="s">
        <v>250</v>
      </c>
      <c r="B216" s="1">
        <v>45717</v>
      </c>
      <c r="C216" s="1">
        <v>45905</v>
      </c>
      <c r="D216" t="s">
        <v>24</v>
      </c>
      <c r="E216" t="s">
        <v>13</v>
      </c>
      <c r="F216" t="s">
        <v>12</v>
      </c>
      <c r="G216" s="2">
        <v>148298</v>
      </c>
      <c r="H216" t="s">
        <v>26</v>
      </c>
      <c r="I216" t="s">
        <v>36</v>
      </c>
      <c r="J216">
        <v>5</v>
      </c>
      <c r="K216" t="s">
        <v>18</v>
      </c>
      <c r="L216" t="s">
        <v>17</v>
      </c>
      <c r="M216">
        <f>YEAR(Scaleflow[[#This Row],[Signup_Date]])</f>
        <v>2025</v>
      </c>
      <c r="N216" t="str">
        <f>TEXT(Scaleflow[[#This Row],[Signup_Date]],"MMM")</f>
        <v>Mar</v>
      </c>
      <c r="O216" t="str">
        <f>IF(Scaleflow[[#This Row],[Monthly_Revenue]]=0,"Free","Paid")</f>
        <v>Paid</v>
      </c>
      <c r="P216">
        <f>YEAR(Scaleflow[[#This Row],[TransactionDate]])</f>
        <v>2025</v>
      </c>
      <c r="Q216">
        <f>MONTH(Scaleflow[[#This Row],[TransactionDate]])</f>
        <v>9</v>
      </c>
      <c r="R216" t="str">
        <f>TEXT(Scaleflow[[#This Row],[TransactionDate]],"MMM")</f>
        <v>Sep</v>
      </c>
    </row>
    <row r="217" spans="1:18" x14ac:dyDescent="0.3">
      <c r="A217" t="s">
        <v>251</v>
      </c>
      <c r="B217" s="1">
        <v>45037</v>
      </c>
      <c r="C217" s="1">
        <v>46001</v>
      </c>
      <c r="D217" t="s">
        <v>12</v>
      </c>
      <c r="E217" t="s">
        <v>13</v>
      </c>
      <c r="F217" t="s">
        <v>29</v>
      </c>
      <c r="G217" s="2">
        <v>7967</v>
      </c>
      <c r="H217" t="s">
        <v>22</v>
      </c>
      <c r="I217" t="s">
        <v>27</v>
      </c>
      <c r="J217">
        <v>5</v>
      </c>
      <c r="K217" t="s">
        <v>17</v>
      </c>
      <c r="L217" t="s">
        <v>18</v>
      </c>
      <c r="M217">
        <f>YEAR(Scaleflow[[#This Row],[Signup_Date]])</f>
        <v>2023</v>
      </c>
      <c r="N217" t="str">
        <f>TEXT(Scaleflow[[#This Row],[Signup_Date]],"MMM")</f>
        <v>Apr</v>
      </c>
      <c r="O217" t="str">
        <f>IF(Scaleflow[[#This Row],[Monthly_Revenue]]=0,"Free","Paid")</f>
        <v>Paid</v>
      </c>
      <c r="P217">
        <f>YEAR(Scaleflow[[#This Row],[TransactionDate]])</f>
        <v>2025</v>
      </c>
      <c r="Q217">
        <f>MONTH(Scaleflow[[#This Row],[TransactionDate]])</f>
        <v>12</v>
      </c>
      <c r="R217" t="str">
        <f>TEXT(Scaleflow[[#This Row],[TransactionDate]],"MMM")</f>
        <v>Dec</v>
      </c>
    </row>
    <row r="218" spans="1:18" x14ac:dyDescent="0.3">
      <c r="A218" t="s">
        <v>252</v>
      </c>
      <c r="B218" s="1">
        <v>45129</v>
      </c>
      <c r="C218" s="1">
        <v>45961</v>
      </c>
      <c r="D218" t="s">
        <v>20</v>
      </c>
      <c r="E218" t="s">
        <v>21</v>
      </c>
      <c r="F218" t="s">
        <v>46</v>
      </c>
      <c r="G218" s="2">
        <v>38678</v>
      </c>
      <c r="H218" t="s">
        <v>49</v>
      </c>
      <c r="I218" t="s">
        <v>42</v>
      </c>
      <c r="J218">
        <v>1</v>
      </c>
      <c r="K218" t="s">
        <v>18</v>
      </c>
      <c r="L218" t="s">
        <v>17</v>
      </c>
      <c r="M218">
        <f>YEAR(Scaleflow[[#This Row],[Signup_Date]])</f>
        <v>2023</v>
      </c>
      <c r="N218" t="str">
        <f>TEXT(Scaleflow[[#This Row],[Signup_Date]],"MMM")</f>
        <v>Jul</v>
      </c>
      <c r="O218" t="str">
        <f>IF(Scaleflow[[#This Row],[Monthly_Revenue]]=0,"Free","Paid")</f>
        <v>Paid</v>
      </c>
      <c r="P218">
        <f>YEAR(Scaleflow[[#This Row],[TransactionDate]])</f>
        <v>2025</v>
      </c>
      <c r="Q218">
        <f>MONTH(Scaleflow[[#This Row],[TransactionDate]])</f>
        <v>10</v>
      </c>
      <c r="R218" t="str">
        <f>TEXT(Scaleflow[[#This Row],[TransactionDate]],"MMM")</f>
        <v>Oct</v>
      </c>
    </row>
    <row r="219" spans="1:18" x14ac:dyDescent="0.3">
      <c r="A219" t="s">
        <v>253</v>
      </c>
      <c r="B219" s="1">
        <v>44958</v>
      </c>
      <c r="C219" s="1">
        <v>45725</v>
      </c>
      <c r="D219" t="s">
        <v>12</v>
      </c>
      <c r="E219" t="s">
        <v>39</v>
      </c>
      <c r="F219" t="s">
        <v>12</v>
      </c>
      <c r="G219" s="2">
        <v>228485</v>
      </c>
      <c r="H219" t="s">
        <v>15</v>
      </c>
      <c r="I219" t="s">
        <v>36</v>
      </c>
      <c r="J219">
        <v>2</v>
      </c>
      <c r="K219" t="s">
        <v>18</v>
      </c>
      <c r="L219" t="s">
        <v>17</v>
      </c>
      <c r="M219">
        <f>YEAR(Scaleflow[[#This Row],[Signup_Date]])</f>
        <v>2023</v>
      </c>
      <c r="N219" t="str">
        <f>TEXT(Scaleflow[[#This Row],[Signup_Date]],"MMM")</f>
        <v>Feb</v>
      </c>
      <c r="O219" t="str">
        <f>IF(Scaleflow[[#This Row],[Monthly_Revenue]]=0,"Free","Paid")</f>
        <v>Paid</v>
      </c>
      <c r="P219">
        <f>YEAR(Scaleflow[[#This Row],[TransactionDate]])</f>
        <v>2025</v>
      </c>
      <c r="Q219">
        <f>MONTH(Scaleflow[[#This Row],[TransactionDate]])</f>
        <v>3</v>
      </c>
      <c r="R219" t="str">
        <f>TEXT(Scaleflow[[#This Row],[TransactionDate]],"MMM")</f>
        <v>Mar</v>
      </c>
    </row>
    <row r="220" spans="1:18" x14ac:dyDescent="0.3">
      <c r="A220" t="s">
        <v>254</v>
      </c>
      <c r="B220" s="1">
        <v>45800</v>
      </c>
      <c r="C220" s="1">
        <v>45816</v>
      </c>
      <c r="D220" t="s">
        <v>24</v>
      </c>
      <c r="E220" t="s">
        <v>21</v>
      </c>
      <c r="F220" t="s">
        <v>46</v>
      </c>
      <c r="G220" s="2">
        <v>46706</v>
      </c>
      <c r="H220" t="s">
        <v>22</v>
      </c>
      <c r="I220" t="s">
        <v>31</v>
      </c>
      <c r="J220">
        <v>3</v>
      </c>
      <c r="K220" t="s">
        <v>18</v>
      </c>
      <c r="L220" t="s">
        <v>17</v>
      </c>
      <c r="M220">
        <f>YEAR(Scaleflow[[#This Row],[Signup_Date]])</f>
        <v>2025</v>
      </c>
      <c r="N220" t="str">
        <f>TEXT(Scaleflow[[#This Row],[Signup_Date]],"MMM")</f>
        <v>May</v>
      </c>
      <c r="O220" t="str">
        <f>IF(Scaleflow[[#This Row],[Monthly_Revenue]]=0,"Free","Paid")</f>
        <v>Paid</v>
      </c>
      <c r="P220">
        <f>YEAR(Scaleflow[[#This Row],[TransactionDate]])</f>
        <v>2025</v>
      </c>
      <c r="Q220">
        <f>MONTH(Scaleflow[[#This Row],[TransactionDate]])</f>
        <v>6</v>
      </c>
      <c r="R220" t="str">
        <f>TEXT(Scaleflow[[#This Row],[TransactionDate]],"MMM")</f>
        <v>Jun</v>
      </c>
    </row>
    <row r="221" spans="1:18" x14ac:dyDescent="0.3">
      <c r="A221" t="s">
        <v>255</v>
      </c>
      <c r="B221" s="1">
        <v>45435</v>
      </c>
      <c r="C221" s="1">
        <v>45899</v>
      </c>
      <c r="D221" t="s">
        <v>24</v>
      </c>
      <c r="E221" t="s">
        <v>41</v>
      </c>
      <c r="F221" t="s">
        <v>46</v>
      </c>
      <c r="G221" s="2">
        <v>43069</v>
      </c>
      <c r="H221" t="s">
        <v>22</v>
      </c>
      <c r="I221" t="s">
        <v>27</v>
      </c>
      <c r="J221">
        <v>0</v>
      </c>
      <c r="K221" t="s">
        <v>18</v>
      </c>
      <c r="L221" t="s">
        <v>17</v>
      </c>
      <c r="M221">
        <f>YEAR(Scaleflow[[#This Row],[Signup_Date]])</f>
        <v>2024</v>
      </c>
      <c r="N221" t="str">
        <f>TEXT(Scaleflow[[#This Row],[Signup_Date]],"MMM")</f>
        <v>May</v>
      </c>
      <c r="O221" t="str">
        <f>IF(Scaleflow[[#This Row],[Monthly_Revenue]]=0,"Free","Paid")</f>
        <v>Paid</v>
      </c>
      <c r="P221">
        <f>YEAR(Scaleflow[[#This Row],[TransactionDate]])</f>
        <v>2025</v>
      </c>
      <c r="Q221">
        <f>MONTH(Scaleflow[[#This Row],[TransactionDate]])</f>
        <v>8</v>
      </c>
      <c r="R221" t="str">
        <f>TEXT(Scaleflow[[#This Row],[TransactionDate]],"MMM")</f>
        <v>Aug</v>
      </c>
    </row>
    <row r="222" spans="1:18" x14ac:dyDescent="0.3">
      <c r="A222" t="s">
        <v>256</v>
      </c>
      <c r="B222" s="1">
        <v>45148</v>
      </c>
      <c r="C222" s="1">
        <v>45252</v>
      </c>
      <c r="D222" t="s">
        <v>24</v>
      </c>
      <c r="E222" t="s">
        <v>39</v>
      </c>
      <c r="F222" t="s">
        <v>14</v>
      </c>
      <c r="G222" s="2">
        <v>0</v>
      </c>
      <c r="H222" t="s">
        <v>15</v>
      </c>
      <c r="I222" t="s">
        <v>36</v>
      </c>
      <c r="J222">
        <v>5</v>
      </c>
      <c r="K222" t="s">
        <v>18</v>
      </c>
      <c r="L222" t="s">
        <v>17</v>
      </c>
      <c r="M222">
        <f>YEAR(Scaleflow[[#This Row],[Signup_Date]])</f>
        <v>2023</v>
      </c>
      <c r="N222" t="str">
        <f>TEXT(Scaleflow[[#This Row],[Signup_Date]],"MMM")</f>
        <v>Aug</v>
      </c>
      <c r="O222" t="str">
        <f>IF(Scaleflow[[#This Row],[Monthly_Revenue]]=0,"Free","Paid")</f>
        <v>Free</v>
      </c>
      <c r="P222">
        <f>YEAR(Scaleflow[[#This Row],[TransactionDate]])</f>
        <v>2023</v>
      </c>
      <c r="Q222">
        <f>MONTH(Scaleflow[[#This Row],[TransactionDate]])</f>
        <v>11</v>
      </c>
      <c r="R222" t="str">
        <f>TEXT(Scaleflow[[#This Row],[TransactionDate]],"MMM")</f>
        <v>Nov</v>
      </c>
    </row>
    <row r="223" spans="1:18" x14ac:dyDescent="0.3">
      <c r="A223" t="s">
        <v>257</v>
      </c>
      <c r="B223" s="1">
        <v>45336</v>
      </c>
      <c r="C223" s="1">
        <v>45362</v>
      </c>
      <c r="D223" t="s">
        <v>12</v>
      </c>
      <c r="E223" t="s">
        <v>13</v>
      </c>
      <c r="F223" t="s">
        <v>12</v>
      </c>
      <c r="G223" s="2">
        <v>160864</v>
      </c>
      <c r="H223" t="s">
        <v>26</v>
      </c>
      <c r="I223" t="s">
        <v>16</v>
      </c>
      <c r="J223">
        <v>3</v>
      </c>
      <c r="K223" t="s">
        <v>17</v>
      </c>
      <c r="L223" t="s">
        <v>18</v>
      </c>
      <c r="M223">
        <f>YEAR(Scaleflow[[#This Row],[Signup_Date]])</f>
        <v>2024</v>
      </c>
      <c r="N223" t="str">
        <f>TEXT(Scaleflow[[#This Row],[Signup_Date]],"MMM")</f>
        <v>Feb</v>
      </c>
      <c r="O223" t="str">
        <f>IF(Scaleflow[[#This Row],[Monthly_Revenue]]=0,"Free","Paid")</f>
        <v>Paid</v>
      </c>
      <c r="P223">
        <f>YEAR(Scaleflow[[#This Row],[TransactionDate]])</f>
        <v>2024</v>
      </c>
      <c r="Q223">
        <f>MONTH(Scaleflow[[#This Row],[TransactionDate]])</f>
        <v>3</v>
      </c>
      <c r="R223" t="str">
        <f>TEXT(Scaleflow[[#This Row],[TransactionDate]],"MMM")</f>
        <v>Mar</v>
      </c>
    </row>
    <row r="224" spans="1:18" x14ac:dyDescent="0.3">
      <c r="A224" t="s">
        <v>258</v>
      </c>
      <c r="B224" s="1">
        <v>45438</v>
      </c>
      <c r="C224" s="1">
        <v>45474</v>
      </c>
      <c r="D224" t="s">
        <v>12</v>
      </c>
      <c r="E224" t="s">
        <v>41</v>
      </c>
      <c r="F224" t="s">
        <v>14</v>
      </c>
      <c r="G224" s="2">
        <v>0</v>
      </c>
      <c r="H224" t="s">
        <v>49</v>
      </c>
      <c r="I224" t="s">
        <v>16</v>
      </c>
      <c r="J224">
        <v>5</v>
      </c>
      <c r="K224" t="s">
        <v>18</v>
      </c>
      <c r="L224" t="s">
        <v>17</v>
      </c>
      <c r="M224">
        <f>YEAR(Scaleflow[[#This Row],[Signup_Date]])</f>
        <v>2024</v>
      </c>
      <c r="N224" t="str">
        <f>TEXT(Scaleflow[[#This Row],[Signup_Date]],"MMM")</f>
        <v>May</v>
      </c>
      <c r="O224" t="str">
        <f>IF(Scaleflow[[#This Row],[Monthly_Revenue]]=0,"Free","Paid")</f>
        <v>Free</v>
      </c>
      <c r="P224">
        <f>YEAR(Scaleflow[[#This Row],[TransactionDate]])</f>
        <v>2024</v>
      </c>
      <c r="Q224">
        <f>MONTH(Scaleflow[[#This Row],[TransactionDate]])</f>
        <v>7</v>
      </c>
      <c r="R224" t="str">
        <f>TEXT(Scaleflow[[#This Row],[TransactionDate]],"MMM")</f>
        <v>Jul</v>
      </c>
    </row>
    <row r="225" spans="1:18" x14ac:dyDescent="0.3">
      <c r="A225" t="s">
        <v>259</v>
      </c>
      <c r="B225" s="1">
        <v>45710</v>
      </c>
      <c r="C225" s="1">
        <v>46007</v>
      </c>
      <c r="D225" t="s">
        <v>12</v>
      </c>
      <c r="E225" t="s">
        <v>25</v>
      </c>
      <c r="F225" t="s">
        <v>12</v>
      </c>
      <c r="G225" s="2">
        <v>236297</v>
      </c>
      <c r="H225" t="s">
        <v>49</v>
      </c>
      <c r="I225" t="s">
        <v>27</v>
      </c>
      <c r="J225">
        <v>2</v>
      </c>
      <c r="K225" t="s">
        <v>18</v>
      </c>
      <c r="L225" t="s">
        <v>17</v>
      </c>
      <c r="M225">
        <f>YEAR(Scaleflow[[#This Row],[Signup_Date]])</f>
        <v>2025</v>
      </c>
      <c r="N225" t="str">
        <f>TEXT(Scaleflow[[#This Row],[Signup_Date]],"MMM")</f>
        <v>Feb</v>
      </c>
      <c r="O225" t="str">
        <f>IF(Scaleflow[[#This Row],[Monthly_Revenue]]=0,"Free","Paid")</f>
        <v>Paid</v>
      </c>
      <c r="P225">
        <f>YEAR(Scaleflow[[#This Row],[TransactionDate]])</f>
        <v>2025</v>
      </c>
      <c r="Q225">
        <f>MONTH(Scaleflow[[#This Row],[TransactionDate]])</f>
        <v>12</v>
      </c>
      <c r="R225" t="str">
        <f>TEXT(Scaleflow[[#This Row],[TransactionDate]],"MMM")</f>
        <v>Dec</v>
      </c>
    </row>
    <row r="226" spans="1:18" x14ac:dyDescent="0.3">
      <c r="A226" t="s">
        <v>260</v>
      </c>
      <c r="B226" s="1">
        <v>45845</v>
      </c>
      <c r="C226" s="1">
        <v>45946</v>
      </c>
      <c r="D226" t="s">
        <v>12</v>
      </c>
      <c r="E226" t="s">
        <v>41</v>
      </c>
      <c r="F226" t="s">
        <v>29</v>
      </c>
      <c r="G226" s="2">
        <v>16924</v>
      </c>
      <c r="H226" t="s">
        <v>22</v>
      </c>
      <c r="I226" t="s">
        <v>16</v>
      </c>
      <c r="J226">
        <v>3</v>
      </c>
      <c r="K226" t="s">
        <v>18</v>
      </c>
      <c r="L226" t="s">
        <v>17</v>
      </c>
      <c r="M226">
        <f>YEAR(Scaleflow[[#This Row],[Signup_Date]])</f>
        <v>2025</v>
      </c>
      <c r="N226" t="str">
        <f>TEXT(Scaleflow[[#This Row],[Signup_Date]],"MMM")</f>
        <v>Jul</v>
      </c>
      <c r="O226" t="str">
        <f>IF(Scaleflow[[#This Row],[Monthly_Revenue]]=0,"Free","Paid")</f>
        <v>Paid</v>
      </c>
      <c r="P226">
        <f>YEAR(Scaleflow[[#This Row],[TransactionDate]])</f>
        <v>2025</v>
      </c>
      <c r="Q226">
        <f>MONTH(Scaleflow[[#This Row],[TransactionDate]])</f>
        <v>10</v>
      </c>
      <c r="R226" t="str">
        <f>TEXT(Scaleflow[[#This Row],[TransactionDate]],"MMM")</f>
        <v>Oct</v>
      </c>
    </row>
    <row r="227" spans="1:18" x14ac:dyDescent="0.3">
      <c r="A227" t="s">
        <v>261</v>
      </c>
      <c r="B227" s="1">
        <v>44936</v>
      </c>
      <c r="C227" s="1">
        <v>45946</v>
      </c>
      <c r="D227" t="s">
        <v>24</v>
      </c>
      <c r="E227" t="s">
        <v>21</v>
      </c>
      <c r="F227" t="s">
        <v>12</v>
      </c>
      <c r="G227" s="2">
        <v>107722</v>
      </c>
      <c r="H227" t="s">
        <v>30</v>
      </c>
      <c r="I227" t="s">
        <v>16</v>
      </c>
      <c r="J227">
        <v>0</v>
      </c>
      <c r="K227" t="s">
        <v>18</v>
      </c>
      <c r="L227" t="s">
        <v>17</v>
      </c>
      <c r="M227">
        <f>YEAR(Scaleflow[[#This Row],[Signup_Date]])</f>
        <v>2023</v>
      </c>
      <c r="N227" t="str">
        <f>TEXT(Scaleflow[[#This Row],[Signup_Date]],"MMM")</f>
        <v>Jan</v>
      </c>
      <c r="O227" t="str">
        <f>IF(Scaleflow[[#This Row],[Monthly_Revenue]]=0,"Free","Paid")</f>
        <v>Paid</v>
      </c>
      <c r="P227">
        <f>YEAR(Scaleflow[[#This Row],[TransactionDate]])</f>
        <v>2025</v>
      </c>
      <c r="Q227">
        <f>MONTH(Scaleflow[[#This Row],[TransactionDate]])</f>
        <v>10</v>
      </c>
      <c r="R227" t="str">
        <f>TEXT(Scaleflow[[#This Row],[TransactionDate]],"MMM")</f>
        <v>Oct</v>
      </c>
    </row>
    <row r="228" spans="1:18" x14ac:dyDescent="0.3">
      <c r="A228" t="s">
        <v>262</v>
      </c>
      <c r="B228" s="1">
        <v>45231</v>
      </c>
      <c r="C228" s="1">
        <v>46018</v>
      </c>
      <c r="D228" t="s">
        <v>24</v>
      </c>
      <c r="E228" t="s">
        <v>41</v>
      </c>
      <c r="F228" t="s">
        <v>12</v>
      </c>
      <c r="G228" s="2">
        <v>130462</v>
      </c>
      <c r="H228" t="s">
        <v>15</v>
      </c>
      <c r="I228" t="s">
        <v>31</v>
      </c>
      <c r="J228">
        <v>3</v>
      </c>
      <c r="K228" t="s">
        <v>18</v>
      </c>
      <c r="L228" t="s">
        <v>17</v>
      </c>
      <c r="M228">
        <f>YEAR(Scaleflow[[#This Row],[Signup_Date]])</f>
        <v>2023</v>
      </c>
      <c r="N228" t="str">
        <f>TEXT(Scaleflow[[#This Row],[Signup_Date]],"MMM")</f>
        <v>Nov</v>
      </c>
      <c r="O228" t="str">
        <f>IF(Scaleflow[[#This Row],[Monthly_Revenue]]=0,"Free","Paid")</f>
        <v>Paid</v>
      </c>
      <c r="P228">
        <f>YEAR(Scaleflow[[#This Row],[TransactionDate]])</f>
        <v>2025</v>
      </c>
      <c r="Q228">
        <f>MONTH(Scaleflow[[#This Row],[TransactionDate]])</f>
        <v>12</v>
      </c>
      <c r="R228" t="str">
        <f>TEXT(Scaleflow[[#This Row],[TransactionDate]],"MMM")</f>
        <v>Dec</v>
      </c>
    </row>
    <row r="229" spans="1:18" x14ac:dyDescent="0.3">
      <c r="A229" t="s">
        <v>263</v>
      </c>
      <c r="B229" s="1">
        <v>45354</v>
      </c>
      <c r="C229" s="1">
        <v>45617</v>
      </c>
      <c r="D229" t="s">
        <v>12</v>
      </c>
      <c r="E229" t="s">
        <v>13</v>
      </c>
      <c r="F229" t="s">
        <v>46</v>
      </c>
      <c r="G229" s="2">
        <v>48244</v>
      </c>
      <c r="H229" t="s">
        <v>22</v>
      </c>
      <c r="I229" t="s">
        <v>31</v>
      </c>
      <c r="J229">
        <v>0</v>
      </c>
      <c r="K229" t="s">
        <v>18</v>
      </c>
      <c r="L229" t="s">
        <v>17</v>
      </c>
      <c r="M229">
        <f>YEAR(Scaleflow[[#This Row],[Signup_Date]])</f>
        <v>2024</v>
      </c>
      <c r="N229" t="str">
        <f>TEXT(Scaleflow[[#This Row],[Signup_Date]],"MMM")</f>
        <v>Mar</v>
      </c>
      <c r="O229" t="str">
        <f>IF(Scaleflow[[#This Row],[Monthly_Revenue]]=0,"Free","Paid")</f>
        <v>Paid</v>
      </c>
      <c r="P229">
        <f>YEAR(Scaleflow[[#This Row],[TransactionDate]])</f>
        <v>2024</v>
      </c>
      <c r="Q229">
        <f>MONTH(Scaleflow[[#This Row],[TransactionDate]])</f>
        <v>11</v>
      </c>
      <c r="R229" t="str">
        <f>TEXT(Scaleflow[[#This Row],[TransactionDate]],"MMM")</f>
        <v>Nov</v>
      </c>
    </row>
    <row r="230" spans="1:18" x14ac:dyDescent="0.3">
      <c r="A230" t="s">
        <v>264</v>
      </c>
      <c r="B230" s="1">
        <v>45181</v>
      </c>
      <c r="C230" s="1">
        <v>45385</v>
      </c>
      <c r="D230" t="s">
        <v>12</v>
      </c>
      <c r="E230" t="s">
        <v>39</v>
      </c>
      <c r="F230" t="s">
        <v>46</v>
      </c>
      <c r="G230" s="2">
        <v>36783</v>
      </c>
      <c r="H230" t="s">
        <v>15</v>
      </c>
      <c r="I230" t="s">
        <v>16</v>
      </c>
      <c r="J230">
        <v>5</v>
      </c>
      <c r="K230" t="s">
        <v>18</v>
      </c>
      <c r="L230" t="s">
        <v>17</v>
      </c>
      <c r="M230">
        <f>YEAR(Scaleflow[[#This Row],[Signup_Date]])</f>
        <v>2023</v>
      </c>
      <c r="N230" t="str">
        <f>TEXT(Scaleflow[[#This Row],[Signup_Date]],"MMM")</f>
        <v>Sep</v>
      </c>
      <c r="O230" t="str">
        <f>IF(Scaleflow[[#This Row],[Monthly_Revenue]]=0,"Free","Paid")</f>
        <v>Paid</v>
      </c>
      <c r="P230">
        <f>YEAR(Scaleflow[[#This Row],[TransactionDate]])</f>
        <v>2024</v>
      </c>
      <c r="Q230">
        <f>MONTH(Scaleflow[[#This Row],[TransactionDate]])</f>
        <v>4</v>
      </c>
      <c r="R230" t="str">
        <f>TEXT(Scaleflow[[#This Row],[TransactionDate]],"MMM")</f>
        <v>Apr</v>
      </c>
    </row>
    <row r="231" spans="1:18" x14ac:dyDescent="0.3">
      <c r="A231" t="s">
        <v>265</v>
      </c>
      <c r="B231" s="1">
        <v>45305</v>
      </c>
      <c r="C231" s="1">
        <v>45305</v>
      </c>
      <c r="D231" t="s">
        <v>20</v>
      </c>
      <c r="E231" t="s">
        <v>33</v>
      </c>
      <c r="F231" t="s">
        <v>46</v>
      </c>
      <c r="G231" s="2">
        <v>34673</v>
      </c>
      <c r="H231" t="s">
        <v>34</v>
      </c>
      <c r="I231" t="s">
        <v>42</v>
      </c>
      <c r="J231">
        <v>0</v>
      </c>
      <c r="K231" t="s">
        <v>18</v>
      </c>
      <c r="L231" t="s">
        <v>17</v>
      </c>
      <c r="M231">
        <f>YEAR(Scaleflow[[#This Row],[Signup_Date]])</f>
        <v>2024</v>
      </c>
      <c r="N231" t="str">
        <f>TEXT(Scaleflow[[#This Row],[Signup_Date]],"MMM")</f>
        <v>Jan</v>
      </c>
      <c r="O231" t="str">
        <f>IF(Scaleflow[[#This Row],[Monthly_Revenue]]=0,"Free","Paid")</f>
        <v>Paid</v>
      </c>
      <c r="P231">
        <f>YEAR(Scaleflow[[#This Row],[TransactionDate]])</f>
        <v>2024</v>
      </c>
      <c r="Q231">
        <f>MONTH(Scaleflow[[#This Row],[TransactionDate]])</f>
        <v>1</v>
      </c>
      <c r="R231" t="str">
        <f>TEXT(Scaleflow[[#This Row],[TransactionDate]],"MMM")</f>
        <v>Jan</v>
      </c>
    </row>
    <row r="232" spans="1:18" x14ac:dyDescent="0.3">
      <c r="A232" t="s">
        <v>266</v>
      </c>
      <c r="B232" s="1">
        <v>45283</v>
      </c>
      <c r="C232" s="1">
        <v>45975</v>
      </c>
      <c r="D232" t="s">
        <v>24</v>
      </c>
      <c r="E232" t="s">
        <v>41</v>
      </c>
      <c r="F232" t="s">
        <v>29</v>
      </c>
      <c r="G232" s="2">
        <v>8501</v>
      </c>
      <c r="H232" t="s">
        <v>30</v>
      </c>
      <c r="I232" t="s">
        <v>16</v>
      </c>
      <c r="J232">
        <v>1</v>
      </c>
      <c r="K232" t="s">
        <v>18</v>
      </c>
      <c r="L232" t="s">
        <v>17</v>
      </c>
      <c r="M232">
        <f>YEAR(Scaleflow[[#This Row],[Signup_Date]])</f>
        <v>2023</v>
      </c>
      <c r="N232" t="str">
        <f>TEXT(Scaleflow[[#This Row],[Signup_Date]],"MMM")</f>
        <v>Dec</v>
      </c>
      <c r="O232" t="str">
        <f>IF(Scaleflow[[#This Row],[Monthly_Revenue]]=0,"Free","Paid")</f>
        <v>Paid</v>
      </c>
      <c r="P232">
        <f>YEAR(Scaleflow[[#This Row],[TransactionDate]])</f>
        <v>2025</v>
      </c>
      <c r="Q232">
        <f>MONTH(Scaleflow[[#This Row],[TransactionDate]])</f>
        <v>11</v>
      </c>
      <c r="R232" t="str">
        <f>TEXT(Scaleflow[[#This Row],[TransactionDate]],"MMM")</f>
        <v>Nov</v>
      </c>
    </row>
    <row r="233" spans="1:18" x14ac:dyDescent="0.3">
      <c r="A233" t="s">
        <v>267</v>
      </c>
      <c r="B233" s="1">
        <v>45196</v>
      </c>
      <c r="C233" s="1">
        <v>45791</v>
      </c>
      <c r="D233" t="s">
        <v>20</v>
      </c>
      <c r="E233" t="s">
        <v>33</v>
      </c>
      <c r="F233" t="s">
        <v>46</v>
      </c>
      <c r="G233" s="2">
        <v>55679</v>
      </c>
      <c r="H233" t="s">
        <v>34</v>
      </c>
      <c r="I233" t="s">
        <v>36</v>
      </c>
      <c r="J233">
        <v>4</v>
      </c>
      <c r="K233" t="s">
        <v>17</v>
      </c>
      <c r="L233" t="s">
        <v>18</v>
      </c>
      <c r="M233">
        <f>YEAR(Scaleflow[[#This Row],[Signup_Date]])</f>
        <v>2023</v>
      </c>
      <c r="N233" t="str">
        <f>TEXT(Scaleflow[[#This Row],[Signup_Date]],"MMM")</f>
        <v>Sep</v>
      </c>
      <c r="O233" t="str">
        <f>IF(Scaleflow[[#This Row],[Monthly_Revenue]]=0,"Free","Paid")</f>
        <v>Paid</v>
      </c>
      <c r="P233">
        <f>YEAR(Scaleflow[[#This Row],[TransactionDate]])</f>
        <v>2025</v>
      </c>
      <c r="Q233">
        <f>MONTH(Scaleflow[[#This Row],[TransactionDate]])</f>
        <v>5</v>
      </c>
      <c r="R233" t="str">
        <f>TEXT(Scaleflow[[#This Row],[TransactionDate]],"MMM")</f>
        <v>May</v>
      </c>
    </row>
    <row r="234" spans="1:18" x14ac:dyDescent="0.3">
      <c r="A234" t="s">
        <v>268</v>
      </c>
      <c r="B234" s="1">
        <v>45818</v>
      </c>
      <c r="C234" s="1">
        <v>45946</v>
      </c>
      <c r="D234" t="s">
        <v>24</v>
      </c>
      <c r="E234" t="s">
        <v>25</v>
      </c>
      <c r="F234" t="s">
        <v>14</v>
      </c>
      <c r="G234" s="2">
        <v>0</v>
      </c>
      <c r="H234" t="s">
        <v>30</v>
      </c>
      <c r="I234" t="s">
        <v>16</v>
      </c>
      <c r="J234">
        <v>1</v>
      </c>
      <c r="K234" t="s">
        <v>18</v>
      </c>
      <c r="L234" t="s">
        <v>17</v>
      </c>
      <c r="M234">
        <f>YEAR(Scaleflow[[#This Row],[Signup_Date]])</f>
        <v>2025</v>
      </c>
      <c r="N234" t="str">
        <f>TEXT(Scaleflow[[#This Row],[Signup_Date]],"MMM")</f>
        <v>Jun</v>
      </c>
      <c r="O234" t="str">
        <f>IF(Scaleflow[[#This Row],[Monthly_Revenue]]=0,"Free","Paid")</f>
        <v>Free</v>
      </c>
      <c r="P234">
        <f>YEAR(Scaleflow[[#This Row],[TransactionDate]])</f>
        <v>2025</v>
      </c>
      <c r="Q234">
        <f>MONTH(Scaleflow[[#This Row],[TransactionDate]])</f>
        <v>10</v>
      </c>
      <c r="R234" t="str">
        <f>TEXT(Scaleflow[[#This Row],[TransactionDate]],"MMM")</f>
        <v>Oct</v>
      </c>
    </row>
    <row r="235" spans="1:18" x14ac:dyDescent="0.3">
      <c r="A235" t="s">
        <v>269</v>
      </c>
      <c r="B235" s="1">
        <v>45689</v>
      </c>
      <c r="C235" s="1">
        <v>45817</v>
      </c>
      <c r="D235" t="s">
        <v>20</v>
      </c>
      <c r="E235" t="s">
        <v>21</v>
      </c>
      <c r="F235" t="s">
        <v>46</v>
      </c>
      <c r="G235" s="2">
        <v>55033</v>
      </c>
      <c r="H235" t="s">
        <v>22</v>
      </c>
      <c r="I235" t="s">
        <v>31</v>
      </c>
      <c r="J235">
        <v>0</v>
      </c>
      <c r="K235" t="s">
        <v>17</v>
      </c>
      <c r="L235" t="s">
        <v>18</v>
      </c>
      <c r="M235">
        <f>YEAR(Scaleflow[[#This Row],[Signup_Date]])</f>
        <v>2025</v>
      </c>
      <c r="N235" t="str">
        <f>TEXT(Scaleflow[[#This Row],[Signup_Date]],"MMM")</f>
        <v>Feb</v>
      </c>
      <c r="O235" t="str">
        <f>IF(Scaleflow[[#This Row],[Monthly_Revenue]]=0,"Free","Paid")</f>
        <v>Paid</v>
      </c>
      <c r="P235">
        <f>YEAR(Scaleflow[[#This Row],[TransactionDate]])</f>
        <v>2025</v>
      </c>
      <c r="Q235">
        <f>MONTH(Scaleflow[[#This Row],[TransactionDate]])</f>
        <v>6</v>
      </c>
      <c r="R235" t="str">
        <f>TEXT(Scaleflow[[#This Row],[TransactionDate]],"MMM")</f>
        <v>Jun</v>
      </c>
    </row>
    <row r="236" spans="1:18" x14ac:dyDescent="0.3">
      <c r="A236" t="s">
        <v>270</v>
      </c>
      <c r="B236" s="1">
        <v>45308</v>
      </c>
      <c r="C236" s="1">
        <v>45711</v>
      </c>
      <c r="D236" t="s">
        <v>20</v>
      </c>
      <c r="E236" t="s">
        <v>13</v>
      </c>
      <c r="F236" t="s">
        <v>29</v>
      </c>
      <c r="G236" s="2">
        <v>7943</v>
      </c>
      <c r="H236" t="s">
        <v>49</v>
      </c>
      <c r="I236" t="s">
        <v>36</v>
      </c>
      <c r="J236">
        <v>0</v>
      </c>
      <c r="K236" t="s">
        <v>18</v>
      </c>
      <c r="L236" t="s">
        <v>17</v>
      </c>
      <c r="M236">
        <f>YEAR(Scaleflow[[#This Row],[Signup_Date]])</f>
        <v>2024</v>
      </c>
      <c r="N236" t="str">
        <f>TEXT(Scaleflow[[#This Row],[Signup_Date]],"MMM")</f>
        <v>Jan</v>
      </c>
      <c r="O236" t="str">
        <f>IF(Scaleflow[[#This Row],[Monthly_Revenue]]=0,"Free","Paid")</f>
        <v>Paid</v>
      </c>
      <c r="P236">
        <f>YEAR(Scaleflow[[#This Row],[TransactionDate]])</f>
        <v>2025</v>
      </c>
      <c r="Q236">
        <f>MONTH(Scaleflow[[#This Row],[TransactionDate]])</f>
        <v>2</v>
      </c>
      <c r="R236" t="str">
        <f>TEXT(Scaleflow[[#This Row],[TransactionDate]],"MMM")</f>
        <v>Feb</v>
      </c>
    </row>
    <row r="237" spans="1:18" x14ac:dyDescent="0.3">
      <c r="A237" t="s">
        <v>271</v>
      </c>
      <c r="B237" s="1">
        <v>45185</v>
      </c>
      <c r="C237" s="1">
        <v>45813</v>
      </c>
      <c r="D237" t="s">
        <v>24</v>
      </c>
      <c r="E237" t="s">
        <v>21</v>
      </c>
      <c r="F237" t="s">
        <v>14</v>
      </c>
      <c r="G237" s="2">
        <v>0</v>
      </c>
      <c r="H237" t="s">
        <v>15</v>
      </c>
      <c r="I237" t="s">
        <v>31</v>
      </c>
      <c r="J237">
        <v>5</v>
      </c>
      <c r="K237" t="s">
        <v>17</v>
      </c>
      <c r="L237" t="s">
        <v>18</v>
      </c>
      <c r="M237">
        <f>YEAR(Scaleflow[[#This Row],[Signup_Date]])</f>
        <v>2023</v>
      </c>
      <c r="N237" t="str">
        <f>TEXT(Scaleflow[[#This Row],[Signup_Date]],"MMM")</f>
        <v>Sep</v>
      </c>
      <c r="O237" t="str">
        <f>IF(Scaleflow[[#This Row],[Monthly_Revenue]]=0,"Free","Paid")</f>
        <v>Free</v>
      </c>
      <c r="P237">
        <f>YEAR(Scaleflow[[#This Row],[TransactionDate]])</f>
        <v>2025</v>
      </c>
      <c r="Q237">
        <f>MONTH(Scaleflow[[#This Row],[TransactionDate]])</f>
        <v>6</v>
      </c>
      <c r="R237" t="str">
        <f>TEXT(Scaleflow[[#This Row],[TransactionDate]],"MMM")</f>
        <v>Jun</v>
      </c>
    </row>
    <row r="238" spans="1:18" x14ac:dyDescent="0.3">
      <c r="A238" t="s">
        <v>272</v>
      </c>
      <c r="B238" s="1">
        <v>45837</v>
      </c>
      <c r="C238" s="1">
        <v>45897</v>
      </c>
      <c r="D238" t="s">
        <v>12</v>
      </c>
      <c r="E238" t="s">
        <v>21</v>
      </c>
      <c r="F238" t="s">
        <v>46</v>
      </c>
      <c r="G238" s="2">
        <v>51891</v>
      </c>
      <c r="H238" t="s">
        <v>26</v>
      </c>
      <c r="I238" t="s">
        <v>16</v>
      </c>
      <c r="J238">
        <v>1</v>
      </c>
      <c r="K238" t="s">
        <v>18</v>
      </c>
      <c r="L238" t="s">
        <v>17</v>
      </c>
      <c r="M238">
        <f>YEAR(Scaleflow[[#This Row],[Signup_Date]])</f>
        <v>2025</v>
      </c>
      <c r="N238" t="str">
        <f>TEXT(Scaleflow[[#This Row],[Signup_Date]],"MMM")</f>
        <v>Jun</v>
      </c>
      <c r="O238" t="str">
        <f>IF(Scaleflow[[#This Row],[Monthly_Revenue]]=0,"Free","Paid")</f>
        <v>Paid</v>
      </c>
      <c r="P238">
        <f>YEAR(Scaleflow[[#This Row],[TransactionDate]])</f>
        <v>2025</v>
      </c>
      <c r="Q238">
        <f>MONTH(Scaleflow[[#This Row],[TransactionDate]])</f>
        <v>8</v>
      </c>
      <c r="R238" t="str">
        <f>TEXT(Scaleflow[[#This Row],[TransactionDate]],"MMM")</f>
        <v>Aug</v>
      </c>
    </row>
    <row r="239" spans="1:18" x14ac:dyDescent="0.3">
      <c r="A239" t="s">
        <v>273</v>
      </c>
      <c r="B239" s="1">
        <v>45037</v>
      </c>
      <c r="C239" s="1">
        <v>45932</v>
      </c>
      <c r="D239" t="s">
        <v>20</v>
      </c>
      <c r="E239" t="s">
        <v>21</v>
      </c>
      <c r="F239" t="s">
        <v>29</v>
      </c>
      <c r="G239" s="2">
        <v>14210</v>
      </c>
      <c r="H239" t="s">
        <v>49</v>
      </c>
      <c r="I239" t="s">
        <v>42</v>
      </c>
      <c r="J239">
        <v>3</v>
      </c>
      <c r="K239" t="s">
        <v>18</v>
      </c>
      <c r="L239" t="s">
        <v>17</v>
      </c>
      <c r="M239">
        <f>YEAR(Scaleflow[[#This Row],[Signup_Date]])</f>
        <v>2023</v>
      </c>
      <c r="N239" t="str">
        <f>TEXT(Scaleflow[[#This Row],[Signup_Date]],"MMM")</f>
        <v>Apr</v>
      </c>
      <c r="O239" t="str">
        <f>IF(Scaleflow[[#This Row],[Monthly_Revenue]]=0,"Free","Paid")</f>
        <v>Paid</v>
      </c>
      <c r="P239">
        <f>YEAR(Scaleflow[[#This Row],[TransactionDate]])</f>
        <v>2025</v>
      </c>
      <c r="Q239">
        <f>MONTH(Scaleflow[[#This Row],[TransactionDate]])</f>
        <v>10</v>
      </c>
      <c r="R239" t="str">
        <f>TEXT(Scaleflow[[#This Row],[TransactionDate]],"MMM")</f>
        <v>Oct</v>
      </c>
    </row>
    <row r="240" spans="1:18" x14ac:dyDescent="0.3">
      <c r="A240" t="s">
        <v>274</v>
      </c>
      <c r="B240" s="1">
        <v>45677</v>
      </c>
      <c r="C240" s="1">
        <v>45998</v>
      </c>
      <c r="D240" t="s">
        <v>24</v>
      </c>
      <c r="E240" t="s">
        <v>41</v>
      </c>
      <c r="F240" t="s">
        <v>12</v>
      </c>
      <c r="G240" s="2">
        <v>202202</v>
      </c>
      <c r="H240" t="s">
        <v>15</v>
      </c>
      <c r="I240" t="s">
        <v>27</v>
      </c>
      <c r="J240">
        <v>2</v>
      </c>
      <c r="K240" t="s">
        <v>18</v>
      </c>
      <c r="L240" t="s">
        <v>17</v>
      </c>
      <c r="M240">
        <f>YEAR(Scaleflow[[#This Row],[Signup_Date]])</f>
        <v>2025</v>
      </c>
      <c r="N240" t="str">
        <f>TEXT(Scaleflow[[#This Row],[Signup_Date]],"MMM")</f>
        <v>Jan</v>
      </c>
      <c r="O240" t="str">
        <f>IF(Scaleflow[[#This Row],[Monthly_Revenue]]=0,"Free","Paid")</f>
        <v>Paid</v>
      </c>
      <c r="P240">
        <f>YEAR(Scaleflow[[#This Row],[TransactionDate]])</f>
        <v>2025</v>
      </c>
      <c r="Q240">
        <f>MONTH(Scaleflow[[#This Row],[TransactionDate]])</f>
        <v>12</v>
      </c>
      <c r="R240" t="str">
        <f>TEXT(Scaleflow[[#This Row],[TransactionDate]],"MMM")</f>
        <v>Dec</v>
      </c>
    </row>
    <row r="241" spans="1:18" x14ac:dyDescent="0.3">
      <c r="A241" t="s">
        <v>275</v>
      </c>
      <c r="B241" s="1">
        <v>45381</v>
      </c>
      <c r="C241" s="1">
        <v>45479</v>
      </c>
      <c r="D241" t="s">
        <v>24</v>
      </c>
      <c r="E241" t="s">
        <v>39</v>
      </c>
      <c r="F241" t="s">
        <v>46</v>
      </c>
      <c r="G241" s="2">
        <v>53944</v>
      </c>
      <c r="H241" t="s">
        <v>49</v>
      </c>
      <c r="I241" t="s">
        <v>27</v>
      </c>
      <c r="J241">
        <v>2</v>
      </c>
      <c r="K241" t="s">
        <v>18</v>
      </c>
      <c r="L241" t="s">
        <v>17</v>
      </c>
      <c r="M241">
        <f>YEAR(Scaleflow[[#This Row],[Signup_Date]])</f>
        <v>2024</v>
      </c>
      <c r="N241" t="str">
        <f>TEXT(Scaleflow[[#This Row],[Signup_Date]],"MMM")</f>
        <v>Mar</v>
      </c>
      <c r="O241" t="str">
        <f>IF(Scaleflow[[#This Row],[Monthly_Revenue]]=0,"Free","Paid")</f>
        <v>Paid</v>
      </c>
      <c r="P241">
        <f>YEAR(Scaleflow[[#This Row],[TransactionDate]])</f>
        <v>2024</v>
      </c>
      <c r="Q241">
        <f>MONTH(Scaleflow[[#This Row],[TransactionDate]])</f>
        <v>7</v>
      </c>
      <c r="R241" t="str">
        <f>TEXT(Scaleflow[[#This Row],[TransactionDate]],"MMM")</f>
        <v>Jul</v>
      </c>
    </row>
    <row r="242" spans="1:18" x14ac:dyDescent="0.3">
      <c r="A242" t="s">
        <v>276</v>
      </c>
      <c r="B242" s="1">
        <v>45644</v>
      </c>
      <c r="C242" s="1">
        <v>45779</v>
      </c>
      <c r="D242" t="s">
        <v>24</v>
      </c>
      <c r="E242" t="s">
        <v>41</v>
      </c>
      <c r="F242" t="s">
        <v>46</v>
      </c>
      <c r="G242" s="2">
        <v>34127</v>
      </c>
      <c r="H242" t="s">
        <v>30</v>
      </c>
      <c r="I242" t="s">
        <v>42</v>
      </c>
      <c r="J242">
        <v>2</v>
      </c>
      <c r="K242" t="s">
        <v>17</v>
      </c>
      <c r="L242" t="s">
        <v>18</v>
      </c>
      <c r="M242">
        <f>YEAR(Scaleflow[[#This Row],[Signup_Date]])</f>
        <v>2024</v>
      </c>
      <c r="N242" t="str">
        <f>TEXT(Scaleflow[[#This Row],[Signup_Date]],"MMM")</f>
        <v>Dec</v>
      </c>
      <c r="O242" t="str">
        <f>IF(Scaleflow[[#This Row],[Monthly_Revenue]]=0,"Free","Paid")</f>
        <v>Paid</v>
      </c>
      <c r="P242">
        <f>YEAR(Scaleflow[[#This Row],[TransactionDate]])</f>
        <v>2025</v>
      </c>
      <c r="Q242">
        <f>MONTH(Scaleflow[[#This Row],[TransactionDate]])</f>
        <v>5</v>
      </c>
      <c r="R242" t="str">
        <f>TEXT(Scaleflow[[#This Row],[TransactionDate]],"MMM")</f>
        <v>May</v>
      </c>
    </row>
    <row r="243" spans="1:18" x14ac:dyDescent="0.3">
      <c r="A243" t="s">
        <v>277</v>
      </c>
      <c r="B243" s="1">
        <v>45382</v>
      </c>
      <c r="C243" s="1">
        <v>45528</v>
      </c>
      <c r="D243" t="s">
        <v>24</v>
      </c>
      <c r="E243" t="s">
        <v>33</v>
      </c>
      <c r="F243" t="s">
        <v>12</v>
      </c>
      <c r="G243" s="2">
        <v>169652</v>
      </c>
      <c r="H243" t="s">
        <v>26</v>
      </c>
      <c r="I243" t="s">
        <v>16</v>
      </c>
      <c r="J243">
        <v>4</v>
      </c>
      <c r="K243" t="s">
        <v>18</v>
      </c>
      <c r="L243" t="s">
        <v>17</v>
      </c>
      <c r="M243">
        <f>YEAR(Scaleflow[[#This Row],[Signup_Date]])</f>
        <v>2024</v>
      </c>
      <c r="N243" t="str">
        <f>TEXT(Scaleflow[[#This Row],[Signup_Date]],"MMM")</f>
        <v>Mar</v>
      </c>
      <c r="O243" t="str">
        <f>IF(Scaleflow[[#This Row],[Monthly_Revenue]]=0,"Free","Paid")</f>
        <v>Paid</v>
      </c>
      <c r="P243">
        <f>YEAR(Scaleflow[[#This Row],[TransactionDate]])</f>
        <v>2024</v>
      </c>
      <c r="Q243">
        <f>MONTH(Scaleflow[[#This Row],[TransactionDate]])</f>
        <v>8</v>
      </c>
      <c r="R243" t="str">
        <f>TEXT(Scaleflow[[#This Row],[TransactionDate]],"MMM")</f>
        <v>Aug</v>
      </c>
    </row>
    <row r="244" spans="1:18" x14ac:dyDescent="0.3">
      <c r="A244" t="s">
        <v>278</v>
      </c>
      <c r="B244" s="1">
        <v>45290</v>
      </c>
      <c r="C244" s="1">
        <v>45364</v>
      </c>
      <c r="D244" t="s">
        <v>24</v>
      </c>
      <c r="E244" t="s">
        <v>13</v>
      </c>
      <c r="F244" t="s">
        <v>12</v>
      </c>
      <c r="G244" s="2">
        <v>228017</v>
      </c>
      <c r="H244" t="s">
        <v>15</v>
      </c>
      <c r="I244" t="s">
        <v>16</v>
      </c>
      <c r="J244">
        <v>1</v>
      </c>
      <c r="K244" t="s">
        <v>18</v>
      </c>
      <c r="L244" t="s">
        <v>17</v>
      </c>
      <c r="M244">
        <f>YEAR(Scaleflow[[#This Row],[Signup_Date]])</f>
        <v>2023</v>
      </c>
      <c r="N244" t="str">
        <f>TEXT(Scaleflow[[#This Row],[Signup_Date]],"MMM")</f>
        <v>Dec</v>
      </c>
      <c r="O244" t="str">
        <f>IF(Scaleflow[[#This Row],[Monthly_Revenue]]=0,"Free","Paid")</f>
        <v>Paid</v>
      </c>
      <c r="P244">
        <f>YEAR(Scaleflow[[#This Row],[TransactionDate]])</f>
        <v>2024</v>
      </c>
      <c r="Q244">
        <f>MONTH(Scaleflow[[#This Row],[TransactionDate]])</f>
        <v>3</v>
      </c>
      <c r="R244" t="str">
        <f>TEXT(Scaleflow[[#This Row],[TransactionDate]],"MMM")</f>
        <v>Mar</v>
      </c>
    </row>
    <row r="245" spans="1:18" x14ac:dyDescent="0.3">
      <c r="A245" t="s">
        <v>279</v>
      </c>
      <c r="B245" s="1">
        <v>45792</v>
      </c>
      <c r="C245" s="1">
        <v>45984</v>
      </c>
      <c r="D245" t="s">
        <v>20</v>
      </c>
      <c r="E245" t="s">
        <v>39</v>
      </c>
      <c r="F245" t="s">
        <v>46</v>
      </c>
      <c r="G245" s="2">
        <v>45679</v>
      </c>
      <c r="H245" t="s">
        <v>26</v>
      </c>
      <c r="I245" t="s">
        <v>36</v>
      </c>
      <c r="J245">
        <v>2</v>
      </c>
      <c r="K245" t="s">
        <v>18</v>
      </c>
      <c r="L245" t="s">
        <v>17</v>
      </c>
      <c r="M245">
        <f>YEAR(Scaleflow[[#This Row],[Signup_Date]])</f>
        <v>2025</v>
      </c>
      <c r="N245" t="str">
        <f>TEXT(Scaleflow[[#This Row],[Signup_Date]],"MMM")</f>
        <v>May</v>
      </c>
      <c r="O245" t="str">
        <f>IF(Scaleflow[[#This Row],[Monthly_Revenue]]=0,"Free","Paid")</f>
        <v>Paid</v>
      </c>
      <c r="P245">
        <f>YEAR(Scaleflow[[#This Row],[TransactionDate]])</f>
        <v>2025</v>
      </c>
      <c r="Q245">
        <f>MONTH(Scaleflow[[#This Row],[TransactionDate]])</f>
        <v>11</v>
      </c>
      <c r="R245" t="str">
        <f>TEXT(Scaleflow[[#This Row],[TransactionDate]],"MMM")</f>
        <v>Nov</v>
      </c>
    </row>
    <row r="246" spans="1:18" x14ac:dyDescent="0.3">
      <c r="A246" t="s">
        <v>280</v>
      </c>
      <c r="B246" s="1">
        <v>45045</v>
      </c>
      <c r="C246" s="1">
        <v>45838</v>
      </c>
      <c r="D246" t="s">
        <v>24</v>
      </c>
      <c r="E246" t="s">
        <v>39</v>
      </c>
      <c r="F246" t="s">
        <v>14</v>
      </c>
      <c r="G246" s="2">
        <v>0</v>
      </c>
      <c r="H246" t="s">
        <v>49</v>
      </c>
      <c r="I246" t="s">
        <v>36</v>
      </c>
      <c r="J246">
        <v>3</v>
      </c>
      <c r="K246" t="s">
        <v>17</v>
      </c>
      <c r="L246" t="s">
        <v>18</v>
      </c>
      <c r="M246">
        <f>YEAR(Scaleflow[[#This Row],[Signup_Date]])</f>
        <v>2023</v>
      </c>
      <c r="N246" t="str">
        <f>TEXT(Scaleflow[[#This Row],[Signup_Date]],"MMM")</f>
        <v>Apr</v>
      </c>
      <c r="O246" t="str">
        <f>IF(Scaleflow[[#This Row],[Monthly_Revenue]]=0,"Free","Paid")</f>
        <v>Free</v>
      </c>
      <c r="P246">
        <f>YEAR(Scaleflow[[#This Row],[TransactionDate]])</f>
        <v>2025</v>
      </c>
      <c r="Q246">
        <f>MONTH(Scaleflow[[#This Row],[TransactionDate]])</f>
        <v>6</v>
      </c>
      <c r="R246" t="str">
        <f>TEXT(Scaleflow[[#This Row],[TransactionDate]],"MMM")</f>
        <v>Jun</v>
      </c>
    </row>
    <row r="247" spans="1:18" x14ac:dyDescent="0.3">
      <c r="A247" t="s">
        <v>281</v>
      </c>
      <c r="B247" s="1">
        <v>45107</v>
      </c>
      <c r="C247" s="1">
        <v>45606</v>
      </c>
      <c r="D247" t="s">
        <v>12</v>
      </c>
      <c r="E247" t="s">
        <v>13</v>
      </c>
      <c r="F247" t="s">
        <v>29</v>
      </c>
      <c r="G247" s="2">
        <v>11140</v>
      </c>
      <c r="H247" t="s">
        <v>15</v>
      </c>
      <c r="I247" t="s">
        <v>42</v>
      </c>
      <c r="J247">
        <v>4</v>
      </c>
      <c r="K247" t="s">
        <v>18</v>
      </c>
      <c r="L247" t="s">
        <v>17</v>
      </c>
      <c r="M247">
        <f>YEAR(Scaleflow[[#This Row],[Signup_Date]])</f>
        <v>2023</v>
      </c>
      <c r="N247" t="str">
        <f>TEXT(Scaleflow[[#This Row],[Signup_Date]],"MMM")</f>
        <v>Jun</v>
      </c>
      <c r="O247" t="str">
        <f>IF(Scaleflow[[#This Row],[Monthly_Revenue]]=0,"Free","Paid")</f>
        <v>Paid</v>
      </c>
      <c r="P247">
        <f>YEAR(Scaleflow[[#This Row],[TransactionDate]])</f>
        <v>2024</v>
      </c>
      <c r="Q247">
        <f>MONTH(Scaleflow[[#This Row],[TransactionDate]])</f>
        <v>11</v>
      </c>
      <c r="R247" t="str">
        <f>TEXT(Scaleflow[[#This Row],[TransactionDate]],"MMM")</f>
        <v>Nov</v>
      </c>
    </row>
    <row r="248" spans="1:18" x14ac:dyDescent="0.3">
      <c r="A248" t="s">
        <v>282</v>
      </c>
      <c r="B248" s="1">
        <v>45409</v>
      </c>
      <c r="C248" s="1">
        <v>45495</v>
      </c>
      <c r="D248" t="s">
        <v>12</v>
      </c>
      <c r="E248" t="s">
        <v>33</v>
      </c>
      <c r="F248" t="s">
        <v>46</v>
      </c>
      <c r="G248" s="2">
        <v>49629</v>
      </c>
      <c r="H248" t="s">
        <v>15</v>
      </c>
      <c r="I248" t="s">
        <v>36</v>
      </c>
      <c r="J248">
        <v>3</v>
      </c>
      <c r="K248" t="s">
        <v>18</v>
      </c>
      <c r="L248" t="s">
        <v>17</v>
      </c>
      <c r="M248">
        <f>YEAR(Scaleflow[[#This Row],[Signup_Date]])</f>
        <v>2024</v>
      </c>
      <c r="N248" t="str">
        <f>TEXT(Scaleflow[[#This Row],[Signup_Date]],"MMM")</f>
        <v>Apr</v>
      </c>
      <c r="O248" t="str">
        <f>IF(Scaleflow[[#This Row],[Monthly_Revenue]]=0,"Free","Paid")</f>
        <v>Paid</v>
      </c>
      <c r="P248">
        <f>YEAR(Scaleflow[[#This Row],[TransactionDate]])</f>
        <v>2024</v>
      </c>
      <c r="Q248">
        <f>MONTH(Scaleflow[[#This Row],[TransactionDate]])</f>
        <v>7</v>
      </c>
      <c r="R248" t="str">
        <f>TEXT(Scaleflow[[#This Row],[TransactionDate]],"MMM")</f>
        <v>Jul</v>
      </c>
    </row>
    <row r="249" spans="1:18" x14ac:dyDescent="0.3">
      <c r="A249" t="s">
        <v>283</v>
      </c>
      <c r="B249" s="1">
        <v>45360</v>
      </c>
      <c r="C249" s="1">
        <v>45623</v>
      </c>
      <c r="D249" t="s">
        <v>20</v>
      </c>
      <c r="E249" t="s">
        <v>25</v>
      </c>
      <c r="F249" t="s">
        <v>46</v>
      </c>
      <c r="G249" s="2">
        <v>51941</v>
      </c>
      <c r="H249" t="s">
        <v>22</v>
      </c>
      <c r="I249" t="s">
        <v>27</v>
      </c>
      <c r="J249">
        <v>5</v>
      </c>
      <c r="K249" t="s">
        <v>18</v>
      </c>
      <c r="L249" t="s">
        <v>17</v>
      </c>
      <c r="M249">
        <f>YEAR(Scaleflow[[#This Row],[Signup_Date]])</f>
        <v>2024</v>
      </c>
      <c r="N249" t="str">
        <f>TEXT(Scaleflow[[#This Row],[Signup_Date]],"MMM")</f>
        <v>Mar</v>
      </c>
      <c r="O249" t="str">
        <f>IF(Scaleflow[[#This Row],[Monthly_Revenue]]=0,"Free","Paid")</f>
        <v>Paid</v>
      </c>
      <c r="P249">
        <f>YEAR(Scaleflow[[#This Row],[TransactionDate]])</f>
        <v>2024</v>
      </c>
      <c r="Q249">
        <f>MONTH(Scaleflow[[#This Row],[TransactionDate]])</f>
        <v>11</v>
      </c>
      <c r="R249" t="str">
        <f>TEXT(Scaleflow[[#This Row],[TransactionDate]],"MMM")</f>
        <v>Nov</v>
      </c>
    </row>
    <row r="250" spans="1:18" x14ac:dyDescent="0.3">
      <c r="A250" t="s">
        <v>284</v>
      </c>
      <c r="B250" s="1">
        <v>45092</v>
      </c>
      <c r="C250" s="1">
        <v>45308</v>
      </c>
      <c r="D250" t="s">
        <v>24</v>
      </c>
      <c r="E250" t="s">
        <v>25</v>
      </c>
      <c r="F250" t="s">
        <v>46</v>
      </c>
      <c r="G250" s="2">
        <v>27944</v>
      </c>
      <c r="H250" t="s">
        <v>30</v>
      </c>
      <c r="I250" t="s">
        <v>42</v>
      </c>
      <c r="J250">
        <v>2</v>
      </c>
      <c r="K250" t="s">
        <v>18</v>
      </c>
      <c r="L250" t="s">
        <v>17</v>
      </c>
      <c r="M250">
        <f>YEAR(Scaleflow[[#This Row],[Signup_Date]])</f>
        <v>2023</v>
      </c>
      <c r="N250" t="str">
        <f>TEXT(Scaleflow[[#This Row],[Signup_Date]],"MMM")</f>
        <v>Jun</v>
      </c>
      <c r="O250" t="str">
        <f>IF(Scaleflow[[#This Row],[Monthly_Revenue]]=0,"Free","Paid")</f>
        <v>Paid</v>
      </c>
      <c r="P250">
        <f>YEAR(Scaleflow[[#This Row],[TransactionDate]])</f>
        <v>2024</v>
      </c>
      <c r="Q250">
        <f>MONTH(Scaleflow[[#This Row],[TransactionDate]])</f>
        <v>1</v>
      </c>
      <c r="R250" t="str">
        <f>TEXT(Scaleflow[[#This Row],[TransactionDate]],"MMM")</f>
        <v>Jan</v>
      </c>
    </row>
    <row r="251" spans="1:18" x14ac:dyDescent="0.3">
      <c r="A251" t="s">
        <v>285</v>
      </c>
      <c r="B251" s="1">
        <v>45698</v>
      </c>
      <c r="C251" s="1">
        <v>45968</v>
      </c>
      <c r="D251" t="s">
        <v>24</v>
      </c>
      <c r="E251" t="s">
        <v>13</v>
      </c>
      <c r="F251" t="s">
        <v>46</v>
      </c>
      <c r="G251" s="2">
        <v>31767</v>
      </c>
      <c r="H251" t="s">
        <v>34</v>
      </c>
      <c r="I251" t="s">
        <v>27</v>
      </c>
      <c r="J251">
        <v>2</v>
      </c>
      <c r="K251" t="s">
        <v>18</v>
      </c>
      <c r="L251" t="s">
        <v>17</v>
      </c>
      <c r="M251">
        <f>YEAR(Scaleflow[[#This Row],[Signup_Date]])</f>
        <v>2025</v>
      </c>
      <c r="N251" t="str">
        <f>TEXT(Scaleflow[[#This Row],[Signup_Date]],"MMM")</f>
        <v>Feb</v>
      </c>
      <c r="O251" t="str">
        <f>IF(Scaleflow[[#This Row],[Monthly_Revenue]]=0,"Free","Paid")</f>
        <v>Paid</v>
      </c>
      <c r="P251">
        <f>YEAR(Scaleflow[[#This Row],[TransactionDate]])</f>
        <v>2025</v>
      </c>
      <c r="Q251">
        <f>MONTH(Scaleflow[[#This Row],[TransactionDate]])</f>
        <v>11</v>
      </c>
      <c r="R251" t="str">
        <f>TEXT(Scaleflow[[#This Row],[TransactionDate]],"MMM")</f>
        <v>Nov</v>
      </c>
    </row>
    <row r="252" spans="1:18" x14ac:dyDescent="0.3">
      <c r="A252" t="s">
        <v>286</v>
      </c>
      <c r="B252" s="1">
        <v>45240</v>
      </c>
      <c r="C252" s="1">
        <v>45795</v>
      </c>
      <c r="D252" t="s">
        <v>20</v>
      </c>
      <c r="E252" t="s">
        <v>25</v>
      </c>
      <c r="F252" t="s">
        <v>12</v>
      </c>
      <c r="G252" s="2">
        <v>135085</v>
      </c>
      <c r="H252" t="s">
        <v>49</v>
      </c>
      <c r="I252" t="s">
        <v>27</v>
      </c>
      <c r="J252">
        <v>3</v>
      </c>
      <c r="K252" t="s">
        <v>17</v>
      </c>
      <c r="L252" t="s">
        <v>18</v>
      </c>
      <c r="M252">
        <f>YEAR(Scaleflow[[#This Row],[Signup_Date]])</f>
        <v>2023</v>
      </c>
      <c r="N252" t="str">
        <f>TEXT(Scaleflow[[#This Row],[Signup_Date]],"MMM")</f>
        <v>Nov</v>
      </c>
      <c r="O252" t="str">
        <f>IF(Scaleflow[[#This Row],[Monthly_Revenue]]=0,"Free","Paid")</f>
        <v>Paid</v>
      </c>
      <c r="P252">
        <f>YEAR(Scaleflow[[#This Row],[TransactionDate]])</f>
        <v>2025</v>
      </c>
      <c r="Q252">
        <f>MONTH(Scaleflow[[#This Row],[TransactionDate]])</f>
        <v>5</v>
      </c>
      <c r="R252" t="str">
        <f>TEXT(Scaleflow[[#This Row],[TransactionDate]],"MMM")</f>
        <v>May</v>
      </c>
    </row>
    <row r="253" spans="1:18" x14ac:dyDescent="0.3">
      <c r="A253" t="s">
        <v>287</v>
      </c>
      <c r="B253" s="1">
        <v>45537</v>
      </c>
      <c r="C253" s="1">
        <v>45897</v>
      </c>
      <c r="D253" t="s">
        <v>20</v>
      </c>
      <c r="E253" t="s">
        <v>21</v>
      </c>
      <c r="F253" t="s">
        <v>29</v>
      </c>
      <c r="G253" s="2">
        <v>14066</v>
      </c>
      <c r="H253" t="s">
        <v>15</v>
      </c>
      <c r="I253" t="s">
        <v>42</v>
      </c>
      <c r="J253">
        <v>5</v>
      </c>
      <c r="K253" t="s">
        <v>18</v>
      </c>
      <c r="L253" t="s">
        <v>17</v>
      </c>
      <c r="M253">
        <f>YEAR(Scaleflow[[#This Row],[Signup_Date]])</f>
        <v>2024</v>
      </c>
      <c r="N253" t="str">
        <f>TEXT(Scaleflow[[#This Row],[Signup_Date]],"MMM")</f>
        <v>Sep</v>
      </c>
      <c r="O253" t="str">
        <f>IF(Scaleflow[[#This Row],[Monthly_Revenue]]=0,"Free","Paid")</f>
        <v>Paid</v>
      </c>
      <c r="P253">
        <f>YEAR(Scaleflow[[#This Row],[TransactionDate]])</f>
        <v>2025</v>
      </c>
      <c r="Q253">
        <f>MONTH(Scaleflow[[#This Row],[TransactionDate]])</f>
        <v>8</v>
      </c>
      <c r="R253" t="str">
        <f>TEXT(Scaleflow[[#This Row],[TransactionDate]],"MMM")</f>
        <v>Aug</v>
      </c>
    </row>
    <row r="254" spans="1:18" x14ac:dyDescent="0.3">
      <c r="A254" t="s">
        <v>288</v>
      </c>
      <c r="B254" s="1">
        <v>45796</v>
      </c>
      <c r="C254" s="1">
        <v>46012</v>
      </c>
      <c r="D254" t="s">
        <v>20</v>
      </c>
      <c r="E254" t="s">
        <v>25</v>
      </c>
      <c r="F254" t="s">
        <v>29</v>
      </c>
      <c r="G254" s="2">
        <v>8603</v>
      </c>
      <c r="H254" t="s">
        <v>26</v>
      </c>
      <c r="I254" t="s">
        <v>36</v>
      </c>
      <c r="J254">
        <v>1</v>
      </c>
      <c r="K254" t="s">
        <v>18</v>
      </c>
      <c r="L254" t="s">
        <v>17</v>
      </c>
      <c r="M254">
        <f>YEAR(Scaleflow[[#This Row],[Signup_Date]])</f>
        <v>2025</v>
      </c>
      <c r="N254" t="str">
        <f>TEXT(Scaleflow[[#This Row],[Signup_Date]],"MMM")</f>
        <v>May</v>
      </c>
      <c r="O254" t="str">
        <f>IF(Scaleflow[[#This Row],[Monthly_Revenue]]=0,"Free","Paid")</f>
        <v>Paid</v>
      </c>
      <c r="P254">
        <f>YEAR(Scaleflow[[#This Row],[TransactionDate]])</f>
        <v>2025</v>
      </c>
      <c r="Q254">
        <f>MONTH(Scaleflow[[#This Row],[TransactionDate]])</f>
        <v>12</v>
      </c>
      <c r="R254" t="str">
        <f>TEXT(Scaleflow[[#This Row],[TransactionDate]],"MMM")</f>
        <v>Dec</v>
      </c>
    </row>
    <row r="255" spans="1:18" x14ac:dyDescent="0.3">
      <c r="A255" t="s">
        <v>289</v>
      </c>
      <c r="B255" s="1">
        <v>45114</v>
      </c>
      <c r="C255" s="1">
        <v>45771</v>
      </c>
      <c r="D255" t="s">
        <v>20</v>
      </c>
      <c r="E255" t="s">
        <v>39</v>
      </c>
      <c r="F255" t="s">
        <v>29</v>
      </c>
      <c r="G255" s="2">
        <v>13602</v>
      </c>
      <c r="H255" t="s">
        <v>15</v>
      </c>
      <c r="I255" t="s">
        <v>27</v>
      </c>
      <c r="J255">
        <v>0</v>
      </c>
      <c r="K255" t="s">
        <v>18</v>
      </c>
      <c r="L255" t="s">
        <v>17</v>
      </c>
      <c r="M255">
        <f>YEAR(Scaleflow[[#This Row],[Signup_Date]])</f>
        <v>2023</v>
      </c>
      <c r="N255" t="str">
        <f>TEXT(Scaleflow[[#This Row],[Signup_Date]],"MMM")</f>
        <v>Jul</v>
      </c>
      <c r="O255" t="str">
        <f>IF(Scaleflow[[#This Row],[Monthly_Revenue]]=0,"Free","Paid")</f>
        <v>Paid</v>
      </c>
      <c r="P255">
        <f>YEAR(Scaleflow[[#This Row],[TransactionDate]])</f>
        <v>2025</v>
      </c>
      <c r="Q255">
        <f>MONTH(Scaleflow[[#This Row],[TransactionDate]])</f>
        <v>4</v>
      </c>
      <c r="R255" t="str">
        <f>TEXT(Scaleflow[[#This Row],[TransactionDate]],"MMM")</f>
        <v>Apr</v>
      </c>
    </row>
    <row r="256" spans="1:18" x14ac:dyDescent="0.3">
      <c r="A256" t="s">
        <v>290</v>
      </c>
      <c r="B256" s="1">
        <v>45152</v>
      </c>
      <c r="C256" s="1">
        <v>45936</v>
      </c>
      <c r="D256" t="s">
        <v>20</v>
      </c>
      <c r="E256" t="s">
        <v>33</v>
      </c>
      <c r="F256" t="s">
        <v>29</v>
      </c>
      <c r="G256" s="2">
        <v>7583</v>
      </c>
      <c r="H256" t="s">
        <v>15</v>
      </c>
      <c r="I256" t="s">
        <v>31</v>
      </c>
      <c r="J256">
        <v>5</v>
      </c>
      <c r="K256" t="s">
        <v>18</v>
      </c>
      <c r="L256" t="s">
        <v>17</v>
      </c>
      <c r="M256">
        <f>YEAR(Scaleflow[[#This Row],[Signup_Date]])</f>
        <v>2023</v>
      </c>
      <c r="N256" t="str">
        <f>TEXT(Scaleflow[[#This Row],[Signup_Date]],"MMM")</f>
        <v>Aug</v>
      </c>
      <c r="O256" t="str">
        <f>IF(Scaleflow[[#This Row],[Monthly_Revenue]]=0,"Free","Paid")</f>
        <v>Paid</v>
      </c>
      <c r="P256">
        <f>YEAR(Scaleflow[[#This Row],[TransactionDate]])</f>
        <v>2025</v>
      </c>
      <c r="Q256">
        <f>MONTH(Scaleflow[[#This Row],[TransactionDate]])</f>
        <v>10</v>
      </c>
      <c r="R256" t="str">
        <f>TEXT(Scaleflow[[#This Row],[TransactionDate]],"MMM")</f>
        <v>Oct</v>
      </c>
    </row>
    <row r="257" spans="1:18" x14ac:dyDescent="0.3">
      <c r="A257" t="s">
        <v>291</v>
      </c>
      <c r="B257" s="1">
        <v>45700</v>
      </c>
      <c r="C257" s="1">
        <v>45753</v>
      </c>
      <c r="D257" t="s">
        <v>12</v>
      </c>
      <c r="E257" t="s">
        <v>33</v>
      </c>
      <c r="F257" t="s">
        <v>29</v>
      </c>
      <c r="G257" s="2">
        <v>10851</v>
      </c>
      <c r="H257" t="s">
        <v>30</v>
      </c>
      <c r="I257" t="s">
        <v>31</v>
      </c>
      <c r="J257">
        <v>4</v>
      </c>
      <c r="K257" t="s">
        <v>18</v>
      </c>
      <c r="L257" t="s">
        <v>17</v>
      </c>
      <c r="M257">
        <f>YEAR(Scaleflow[[#This Row],[Signup_Date]])</f>
        <v>2025</v>
      </c>
      <c r="N257" t="str">
        <f>TEXT(Scaleflow[[#This Row],[Signup_Date]],"MMM")</f>
        <v>Feb</v>
      </c>
      <c r="O257" t="str">
        <f>IF(Scaleflow[[#This Row],[Monthly_Revenue]]=0,"Free","Paid")</f>
        <v>Paid</v>
      </c>
      <c r="P257">
        <f>YEAR(Scaleflow[[#This Row],[TransactionDate]])</f>
        <v>2025</v>
      </c>
      <c r="Q257">
        <f>MONTH(Scaleflow[[#This Row],[TransactionDate]])</f>
        <v>4</v>
      </c>
      <c r="R257" t="str">
        <f>TEXT(Scaleflow[[#This Row],[TransactionDate]],"MMM")</f>
        <v>Apr</v>
      </c>
    </row>
    <row r="258" spans="1:18" x14ac:dyDescent="0.3">
      <c r="A258" t="s">
        <v>292</v>
      </c>
      <c r="B258" s="1">
        <v>45299</v>
      </c>
      <c r="C258" s="1">
        <v>45388</v>
      </c>
      <c r="D258" t="s">
        <v>12</v>
      </c>
      <c r="E258" t="s">
        <v>25</v>
      </c>
      <c r="F258" t="s">
        <v>46</v>
      </c>
      <c r="G258" s="2">
        <v>30179</v>
      </c>
      <c r="H258" t="s">
        <v>30</v>
      </c>
      <c r="I258" t="s">
        <v>16</v>
      </c>
      <c r="J258">
        <v>5</v>
      </c>
      <c r="K258" t="s">
        <v>18</v>
      </c>
      <c r="L258" t="s">
        <v>17</v>
      </c>
      <c r="M258">
        <f>YEAR(Scaleflow[[#This Row],[Signup_Date]])</f>
        <v>2024</v>
      </c>
      <c r="N258" t="str">
        <f>TEXT(Scaleflow[[#This Row],[Signup_Date]],"MMM")</f>
        <v>Jan</v>
      </c>
      <c r="O258" t="str">
        <f>IF(Scaleflow[[#This Row],[Monthly_Revenue]]=0,"Free","Paid")</f>
        <v>Paid</v>
      </c>
      <c r="P258">
        <f>YEAR(Scaleflow[[#This Row],[TransactionDate]])</f>
        <v>2024</v>
      </c>
      <c r="Q258">
        <f>MONTH(Scaleflow[[#This Row],[TransactionDate]])</f>
        <v>4</v>
      </c>
      <c r="R258" t="str">
        <f>TEXT(Scaleflow[[#This Row],[TransactionDate]],"MMM")</f>
        <v>Apr</v>
      </c>
    </row>
    <row r="259" spans="1:18" x14ac:dyDescent="0.3">
      <c r="A259" t="s">
        <v>293</v>
      </c>
      <c r="B259" s="1">
        <v>45234</v>
      </c>
      <c r="C259" s="1">
        <v>45858</v>
      </c>
      <c r="D259" t="s">
        <v>20</v>
      </c>
      <c r="E259" t="s">
        <v>21</v>
      </c>
      <c r="F259" t="s">
        <v>29</v>
      </c>
      <c r="G259" s="2">
        <v>10304</v>
      </c>
      <c r="H259" t="s">
        <v>26</v>
      </c>
      <c r="I259" t="s">
        <v>16</v>
      </c>
      <c r="J259">
        <v>2</v>
      </c>
      <c r="K259" t="s">
        <v>18</v>
      </c>
      <c r="L259" t="s">
        <v>17</v>
      </c>
      <c r="M259">
        <f>YEAR(Scaleflow[[#This Row],[Signup_Date]])</f>
        <v>2023</v>
      </c>
      <c r="N259" t="str">
        <f>TEXT(Scaleflow[[#This Row],[Signup_Date]],"MMM")</f>
        <v>Nov</v>
      </c>
      <c r="O259" t="str">
        <f>IF(Scaleflow[[#This Row],[Monthly_Revenue]]=0,"Free","Paid")</f>
        <v>Paid</v>
      </c>
      <c r="P259">
        <f>YEAR(Scaleflow[[#This Row],[TransactionDate]])</f>
        <v>2025</v>
      </c>
      <c r="Q259">
        <f>MONTH(Scaleflow[[#This Row],[TransactionDate]])</f>
        <v>7</v>
      </c>
      <c r="R259" t="str">
        <f>TEXT(Scaleflow[[#This Row],[TransactionDate]],"MMM")</f>
        <v>Jul</v>
      </c>
    </row>
    <row r="260" spans="1:18" x14ac:dyDescent="0.3">
      <c r="A260" t="s">
        <v>294</v>
      </c>
      <c r="B260" s="1">
        <v>45853</v>
      </c>
      <c r="C260" s="1">
        <v>46022</v>
      </c>
      <c r="D260" t="s">
        <v>20</v>
      </c>
      <c r="E260" t="s">
        <v>33</v>
      </c>
      <c r="F260" t="s">
        <v>14</v>
      </c>
      <c r="G260" s="2">
        <v>0</v>
      </c>
      <c r="H260" t="s">
        <v>26</v>
      </c>
      <c r="I260" t="s">
        <v>27</v>
      </c>
      <c r="J260">
        <v>3</v>
      </c>
      <c r="K260" t="s">
        <v>18</v>
      </c>
      <c r="L260" t="s">
        <v>17</v>
      </c>
      <c r="M260">
        <f>YEAR(Scaleflow[[#This Row],[Signup_Date]])</f>
        <v>2025</v>
      </c>
      <c r="N260" t="str">
        <f>TEXT(Scaleflow[[#This Row],[Signup_Date]],"MMM")</f>
        <v>Jul</v>
      </c>
      <c r="O260" t="str">
        <f>IF(Scaleflow[[#This Row],[Monthly_Revenue]]=0,"Free","Paid")</f>
        <v>Free</v>
      </c>
      <c r="P260">
        <f>YEAR(Scaleflow[[#This Row],[TransactionDate]])</f>
        <v>2025</v>
      </c>
      <c r="Q260">
        <f>MONTH(Scaleflow[[#This Row],[TransactionDate]])</f>
        <v>12</v>
      </c>
      <c r="R260" t="str">
        <f>TEXT(Scaleflow[[#This Row],[TransactionDate]],"MMM")</f>
        <v>Dec</v>
      </c>
    </row>
    <row r="261" spans="1:18" x14ac:dyDescent="0.3">
      <c r="A261" t="s">
        <v>295</v>
      </c>
      <c r="B261" s="1">
        <v>45102</v>
      </c>
      <c r="C261" s="1">
        <v>45863</v>
      </c>
      <c r="D261" t="s">
        <v>24</v>
      </c>
      <c r="E261" t="s">
        <v>21</v>
      </c>
      <c r="F261" t="s">
        <v>46</v>
      </c>
      <c r="G261" s="2">
        <v>53168</v>
      </c>
      <c r="H261" t="s">
        <v>26</v>
      </c>
      <c r="I261" t="s">
        <v>42</v>
      </c>
      <c r="J261">
        <v>3</v>
      </c>
      <c r="K261" t="s">
        <v>18</v>
      </c>
      <c r="L261" t="s">
        <v>17</v>
      </c>
      <c r="M261">
        <f>YEAR(Scaleflow[[#This Row],[Signup_Date]])</f>
        <v>2023</v>
      </c>
      <c r="N261" t="str">
        <f>TEXT(Scaleflow[[#This Row],[Signup_Date]],"MMM")</f>
        <v>Jun</v>
      </c>
      <c r="O261" t="str">
        <f>IF(Scaleflow[[#This Row],[Monthly_Revenue]]=0,"Free","Paid")</f>
        <v>Paid</v>
      </c>
      <c r="P261">
        <f>YEAR(Scaleflow[[#This Row],[TransactionDate]])</f>
        <v>2025</v>
      </c>
      <c r="Q261">
        <f>MONTH(Scaleflow[[#This Row],[TransactionDate]])</f>
        <v>7</v>
      </c>
      <c r="R261" t="str">
        <f>TEXT(Scaleflow[[#This Row],[TransactionDate]],"MMM")</f>
        <v>Jul</v>
      </c>
    </row>
    <row r="262" spans="1:18" x14ac:dyDescent="0.3">
      <c r="A262" t="s">
        <v>296</v>
      </c>
      <c r="B262" s="1">
        <v>45454</v>
      </c>
      <c r="C262" s="1">
        <v>45493</v>
      </c>
      <c r="D262" t="s">
        <v>12</v>
      </c>
      <c r="E262" t="s">
        <v>21</v>
      </c>
      <c r="F262" t="s">
        <v>12</v>
      </c>
      <c r="G262" s="2">
        <v>148994</v>
      </c>
      <c r="H262" t="s">
        <v>49</v>
      </c>
      <c r="I262" t="s">
        <v>42</v>
      </c>
      <c r="J262">
        <v>0</v>
      </c>
      <c r="K262" t="s">
        <v>17</v>
      </c>
      <c r="L262" t="s">
        <v>18</v>
      </c>
      <c r="M262">
        <f>YEAR(Scaleflow[[#This Row],[Signup_Date]])</f>
        <v>2024</v>
      </c>
      <c r="N262" t="str">
        <f>TEXT(Scaleflow[[#This Row],[Signup_Date]],"MMM")</f>
        <v>Jun</v>
      </c>
      <c r="O262" t="str">
        <f>IF(Scaleflow[[#This Row],[Monthly_Revenue]]=0,"Free","Paid")</f>
        <v>Paid</v>
      </c>
      <c r="P262">
        <f>YEAR(Scaleflow[[#This Row],[TransactionDate]])</f>
        <v>2024</v>
      </c>
      <c r="Q262">
        <f>MONTH(Scaleflow[[#This Row],[TransactionDate]])</f>
        <v>7</v>
      </c>
      <c r="R262" t="str">
        <f>TEXT(Scaleflow[[#This Row],[TransactionDate]],"MMM")</f>
        <v>Jul</v>
      </c>
    </row>
    <row r="263" spans="1:18" x14ac:dyDescent="0.3">
      <c r="A263" t="s">
        <v>297</v>
      </c>
      <c r="B263" s="1">
        <v>45700</v>
      </c>
      <c r="C263" s="1">
        <v>45815</v>
      </c>
      <c r="D263" t="s">
        <v>20</v>
      </c>
      <c r="E263" t="s">
        <v>33</v>
      </c>
      <c r="F263" t="s">
        <v>29</v>
      </c>
      <c r="G263" s="2">
        <v>13323</v>
      </c>
      <c r="H263" t="s">
        <v>22</v>
      </c>
      <c r="I263" t="s">
        <v>16</v>
      </c>
      <c r="J263">
        <v>3</v>
      </c>
      <c r="K263" t="s">
        <v>17</v>
      </c>
      <c r="L263" t="s">
        <v>18</v>
      </c>
      <c r="M263">
        <f>YEAR(Scaleflow[[#This Row],[Signup_Date]])</f>
        <v>2025</v>
      </c>
      <c r="N263" t="str">
        <f>TEXT(Scaleflow[[#This Row],[Signup_Date]],"MMM")</f>
        <v>Feb</v>
      </c>
      <c r="O263" t="str">
        <f>IF(Scaleflow[[#This Row],[Monthly_Revenue]]=0,"Free","Paid")</f>
        <v>Paid</v>
      </c>
      <c r="P263">
        <f>YEAR(Scaleflow[[#This Row],[TransactionDate]])</f>
        <v>2025</v>
      </c>
      <c r="Q263">
        <f>MONTH(Scaleflow[[#This Row],[TransactionDate]])</f>
        <v>6</v>
      </c>
      <c r="R263" t="str">
        <f>TEXT(Scaleflow[[#This Row],[TransactionDate]],"MMM")</f>
        <v>Jun</v>
      </c>
    </row>
    <row r="264" spans="1:18" x14ac:dyDescent="0.3">
      <c r="A264" t="s">
        <v>298</v>
      </c>
      <c r="B264" s="1">
        <v>45554</v>
      </c>
      <c r="C264" s="1">
        <v>45987</v>
      </c>
      <c r="D264" t="s">
        <v>12</v>
      </c>
      <c r="E264" t="s">
        <v>39</v>
      </c>
      <c r="F264" t="s">
        <v>12</v>
      </c>
      <c r="G264" s="2">
        <v>122925</v>
      </c>
      <c r="H264" t="s">
        <v>15</v>
      </c>
      <c r="I264" t="s">
        <v>31</v>
      </c>
      <c r="J264">
        <v>2</v>
      </c>
      <c r="K264" t="s">
        <v>18</v>
      </c>
      <c r="L264" t="s">
        <v>17</v>
      </c>
      <c r="M264">
        <f>YEAR(Scaleflow[[#This Row],[Signup_Date]])</f>
        <v>2024</v>
      </c>
      <c r="N264" t="str">
        <f>TEXT(Scaleflow[[#This Row],[Signup_Date]],"MMM")</f>
        <v>Sep</v>
      </c>
      <c r="O264" t="str">
        <f>IF(Scaleflow[[#This Row],[Monthly_Revenue]]=0,"Free","Paid")</f>
        <v>Paid</v>
      </c>
      <c r="P264">
        <f>YEAR(Scaleflow[[#This Row],[TransactionDate]])</f>
        <v>2025</v>
      </c>
      <c r="Q264">
        <f>MONTH(Scaleflow[[#This Row],[TransactionDate]])</f>
        <v>11</v>
      </c>
      <c r="R264" t="str">
        <f>TEXT(Scaleflow[[#This Row],[TransactionDate]],"MMM")</f>
        <v>Nov</v>
      </c>
    </row>
    <row r="265" spans="1:18" x14ac:dyDescent="0.3">
      <c r="A265" t="s">
        <v>299</v>
      </c>
      <c r="B265" s="1">
        <v>45263</v>
      </c>
      <c r="C265" s="1">
        <v>45589</v>
      </c>
      <c r="D265" t="s">
        <v>20</v>
      </c>
      <c r="E265" t="s">
        <v>25</v>
      </c>
      <c r="F265" t="s">
        <v>46</v>
      </c>
      <c r="G265" s="2">
        <v>57848</v>
      </c>
      <c r="H265" t="s">
        <v>30</v>
      </c>
      <c r="I265" t="s">
        <v>36</v>
      </c>
      <c r="J265">
        <v>1</v>
      </c>
      <c r="K265" t="s">
        <v>18</v>
      </c>
      <c r="L265" t="s">
        <v>17</v>
      </c>
      <c r="M265">
        <f>YEAR(Scaleflow[[#This Row],[Signup_Date]])</f>
        <v>2023</v>
      </c>
      <c r="N265" t="str">
        <f>TEXT(Scaleflow[[#This Row],[Signup_Date]],"MMM")</f>
        <v>Dec</v>
      </c>
      <c r="O265" t="str">
        <f>IF(Scaleflow[[#This Row],[Monthly_Revenue]]=0,"Free","Paid")</f>
        <v>Paid</v>
      </c>
      <c r="P265">
        <f>YEAR(Scaleflow[[#This Row],[TransactionDate]])</f>
        <v>2024</v>
      </c>
      <c r="Q265">
        <f>MONTH(Scaleflow[[#This Row],[TransactionDate]])</f>
        <v>10</v>
      </c>
      <c r="R265" t="str">
        <f>TEXT(Scaleflow[[#This Row],[TransactionDate]],"MMM")</f>
        <v>Oct</v>
      </c>
    </row>
    <row r="266" spans="1:18" x14ac:dyDescent="0.3">
      <c r="A266" t="s">
        <v>300</v>
      </c>
      <c r="B266" s="1">
        <v>45496</v>
      </c>
      <c r="C266" s="1">
        <v>45709</v>
      </c>
      <c r="D266" t="s">
        <v>20</v>
      </c>
      <c r="E266" t="s">
        <v>13</v>
      </c>
      <c r="F266" t="s">
        <v>14</v>
      </c>
      <c r="G266" s="2">
        <v>0</v>
      </c>
      <c r="H266" t="s">
        <v>49</v>
      </c>
      <c r="I266" t="s">
        <v>42</v>
      </c>
      <c r="J266">
        <v>1</v>
      </c>
      <c r="K266" t="s">
        <v>18</v>
      </c>
      <c r="L266" t="s">
        <v>17</v>
      </c>
      <c r="M266">
        <f>YEAR(Scaleflow[[#This Row],[Signup_Date]])</f>
        <v>2024</v>
      </c>
      <c r="N266" t="str">
        <f>TEXT(Scaleflow[[#This Row],[Signup_Date]],"MMM")</f>
        <v>Jul</v>
      </c>
      <c r="O266" t="str">
        <f>IF(Scaleflow[[#This Row],[Monthly_Revenue]]=0,"Free","Paid")</f>
        <v>Free</v>
      </c>
      <c r="P266">
        <f>YEAR(Scaleflow[[#This Row],[TransactionDate]])</f>
        <v>2025</v>
      </c>
      <c r="Q266">
        <f>MONTH(Scaleflow[[#This Row],[TransactionDate]])</f>
        <v>2</v>
      </c>
      <c r="R266" t="str">
        <f>TEXT(Scaleflow[[#This Row],[TransactionDate]],"MMM")</f>
        <v>Feb</v>
      </c>
    </row>
    <row r="267" spans="1:18" x14ac:dyDescent="0.3">
      <c r="A267" t="s">
        <v>301</v>
      </c>
      <c r="B267" s="1">
        <v>45687</v>
      </c>
      <c r="C267" s="1">
        <v>45846</v>
      </c>
      <c r="D267" t="s">
        <v>24</v>
      </c>
      <c r="E267" t="s">
        <v>33</v>
      </c>
      <c r="F267" t="s">
        <v>14</v>
      </c>
      <c r="G267" s="2">
        <v>0</v>
      </c>
      <c r="H267" t="s">
        <v>22</v>
      </c>
      <c r="I267" t="s">
        <v>27</v>
      </c>
      <c r="J267">
        <v>1</v>
      </c>
      <c r="K267" t="s">
        <v>18</v>
      </c>
      <c r="L267" t="s">
        <v>17</v>
      </c>
      <c r="M267">
        <f>YEAR(Scaleflow[[#This Row],[Signup_Date]])</f>
        <v>2025</v>
      </c>
      <c r="N267" t="str">
        <f>TEXT(Scaleflow[[#This Row],[Signup_Date]],"MMM")</f>
        <v>Jan</v>
      </c>
      <c r="O267" t="str">
        <f>IF(Scaleflow[[#This Row],[Monthly_Revenue]]=0,"Free","Paid")</f>
        <v>Free</v>
      </c>
      <c r="P267">
        <f>YEAR(Scaleflow[[#This Row],[TransactionDate]])</f>
        <v>2025</v>
      </c>
      <c r="Q267">
        <f>MONTH(Scaleflow[[#This Row],[TransactionDate]])</f>
        <v>7</v>
      </c>
      <c r="R267" t="str">
        <f>TEXT(Scaleflow[[#This Row],[TransactionDate]],"MMM")</f>
        <v>Jul</v>
      </c>
    </row>
    <row r="268" spans="1:18" x14ac:dyDescent="0.3">
      <c r="A268" t="s">
        <v>302</v>
      </c>
      <c r="B268" s="1">
        <v>45392</v>
      </c>
      <c r="C268" s="1">
        <v>45738</v>
      </c>
      <c r="D268" t="s">
        <v>24</v>
      </c>
      <c r="E268" t="s">
        <v>13</v>
      </c>
      <c r="F268" t="s">
        <v>12</v>
      </c>
      <c r="G268" s="2">
        <v>135913</v>
      </c>
      <c r="H268" t="s">
        <v>22</v>
      </c>
      <c r="I268" t="s">
        <v>16</v>
      </c>
      <c r="J268">
        <v>1</v>
      </c>
      <c r="K268" t="s">
        <v>18</v>
      </c>
      <c r="L268" t="s">
        <v>17</v>
      </c>
      <c r="M268">
        <f>YEAR(Scaleflow[[#This Row],[Signup_Date]])</f>
        <v>2024</v>
      </c>
      <c r="N268" t="str">
        <f>TEXT(Scaleflow[[#This Row],[Signup_Date]],"MMM")</f>
        <v>Apr</v>
      </c>
      <c r="O268" t="str">
        <f>IF(Scaleflow[[#This Row],[Monthly_Revenue]]=0,"Free","Paid")</f>
        <v>Paid</v>
      </c>
      <c r="P268">
        <f>YEAR(Scaleflow[[#This Row],[TransactionDate]])</f>
        <v>2025</v>
      </c>
      <c r="Q268">
        <f>MONTH(Scaleflow[[#This Row],[TransactionDate]])</f>
        <v>3</v>
      </c>
      <c r="R268" t="str">
        <f>TEXT(Scaleflow[[#This Row],[TransactionDate]],"MMM")</f>
        <v>Mar</v>
      </c>
    </row>
    <row r="269" spans="1:18" x14ac:dyDescent="0.3">
      <c r="A269" t="s">
        <v>303</v>
      </c>
      <c r="B269" s="1">
        <v>45537</v>
      </c>
      <c r="C269" s="1">
        <v>45691</v>
      </c>
      <c r="D269" t="s">
        <v>20</v>
      </c>
      <c r="E269" t="s">
        <v>25</v>
      </c>
      <c r="F269" t="s">
        <v>12</v>
      </c>
      <c r="G269" s="2">
        <v>224434</v>
      </c>
      <c r="H269" t="s">
        <v>30</v>
      </c>
      <c r="I269" t="s">
        <v>36</v>
      </c>
      <c r="J269">
        <v>3</v>
      </c>
      <c r="K269" t="s">
        <v>17</v>
      </c>
      <c r="L269" t="s">
        <v>18</v>
      </c>
      <c r="M269">
        <f>YEAR(Scaleflow[[#This Row],[Signup_Date]])</f>
        <v>2024</v>
      </c>
      <c r="N269" t="str">
        <f>TEXT(Scaleflow[[#This Row],[Signup_Date]],"MMM")</f>
        <v>Sep</v>
      </c>
      <c r="O269" t="str">
        <f>IF(Scaleflow[[#This Row],[Monthly_Revenue]]=0,"Free","Paid")</f>
        <v>Paid</v>
      </c>
      <c r="P269">
        <f>YEAR(Scaleflow[[#This Row],[TransactionDate]])</f>
        <v>2025</v>
      </c>
      <c r="Q269">
        <f>MONTH(Scaleflow[[#This Row],[TransactionDate]])</f>
        <v>2</v>
      </c>
      <c r="R269" t="str">
        <f>TEXT(Scaleflow[[#This Row],[TransactionDate]],"MMM")</f>
        <v>Feb</v>
      </c>
    </row>
    <row r="270" spans="1:18" x14ac:dyDescent="0.3">
      <c r="A270" t="s">
        <v>304</v>
      </c>
      <c r="B270" s="1">
        <v>45332</v>
      </c>
      <c r="C270" s="1">
        <v>45434</v>
      </c>
      <c r="D270" t="s">
        <v>24</v>
      </c>
      <c r="E270" t="s">
        <v>33</v>
      </c>
      <c r="F270" t="s">
        <v>29</v>
      </c>
      <c r="G270" s="2">
        <v>10642</v>
      </c>
      <c r="H270" t="s">
        <v>49</v>
      </c>
      <c r="I270" t="s">
        <v>42</v>
      </c>
      <c r="J270">
        <v>0</v>
      </c>
      <c r="K270" t="s">
        <v>18</v>
      </c>
      <c r="L270" t="s">
        <v>17</v>
      </c>
      <c r="M270">
        <f>YEAR(Scaleflow[[#This Row],[Signup_Date]])</f>
        <v>2024</v>
      </c>
      <c r="N270" t="str">
        <f>TEXT(Scaleflow[[#This Row],[Signup_Date]],"MMM")</f>
        <v>Feb</v>
      </c>
      <c r="O270" t="str">
        <f>IF(Scaleflow[[#This Row],[Monthly_Revenue]]=0,"Free","Paid")</f>
        <v>Paid</v>
      </c>
      <c r="P270">
        <f>YEAR(Scaleflow[[#This Row],[TransactionDate]])</f>
        <v>2024</v>
      </c>
      <c r="Q270">
        <f>MONTH(Scaleflow[[#This Row],[TransactionDate]])</f>
        <v>5</v>
      </c>
      <c r="R270" t="str">
        <f>TEXT(Scaleflow[[#This Row],[TransactionDate]],"MMM")</f>
        <v>May</v>
      </c>
    </row>
    <row r="271" spans="1:18" x14ac:dyDescent="0.3">
      <c r="A271" t="s">
        <v>305</v>
      </c>
      <c r="B271" s="1">
        <v>45909</v>
      </c>
      <c r="C271" s="1">
        <v>45990</v>
      </c>
      <c r="D271" t="s">
        <v>24</v>
      </c>
      <c r="E271" t="s">
        <v>21</v>
      </c>
      <c r="F271" t="s">
        <v>46</v>
      </c>
      <c r="G271" s="2">
        <v>34609</v>
      </c>
      <c r="H271" t="s">
        <v>49</v>
      </c>
      <c r="I271" t="s">
        <v>36</v>
      </c>
      <c r="J271">
        <v>2</v>
      </c>
      <c r="K271" t="s">
        <v>18</v>
      </c>
      <c r="L271" t="s">
        <v>17</v>
      </c>
      <c r="M271">
        <f>YEAR(Scaleflow[[#This Row],[Signup_Date]])</f>
        <v>2025</v>
      </c>
      <c r="N271" t="str">
        <f>TEXT(Scaleflow[[#This Row],[Signup_Date]],"MMM")</f>
        <v>Sep</v>
      </c>
      <c r="O271" t="str">
        <f>IF(Scaleflow[[#This Row],[Monthly_Revenue]]=0,"Free","Paid")</f>
        <v>Paid</v>
      </c>
      <c r="P271">
        <f>YEAR(Scaleflow[[#This Row],[TransactionDate]])</f>
        <v>2025</v>
      </c>
      <c r="Q271">
        <f>MONTH(Scaleflow[[#This Row],[TransactionDate]])</f>
        <v>11</v>
      </c>
      <c r="R271" t="str">
        <f>TEXT(Scaleflow[[#This Row],[TransactionDate]],"MMM")</f>
        <v>Nov</v>
      </c>
    </row>
    <row r="272" spans="1:18" x14ac:dyDescent="0.3">
      <c r="A272" t="s">
        <v>306</v>
      </c>
      <c r="B272" s="1">
        <v>45030</v>
      </c>
      <c r="C272" s="1">
        <v>45052</v>
      </c>
      <c r="D272" t="s">
        <v>12</v>
      </c>
      <c r="E272" t="s">
        <v>25</v>
      </c>
      <c r="F272" t="s">
        <v>29</v>
      </c>
      <c r="G272" s="2">
        <v>11058</v>
      </c>
      <c r="H272" t="s">
        <v>49</v>
      </c>
      <c r="I272" t="s">
        <v>16</v>
      </c>
      <c r="J272">
        <v>3</v>
      </c>
      <c r="K272" t="s">
        <v>18</v>
      </c>
      <c r="L272" t="s">
        <v>17</v>
      </c>
      <c r="M272">
        <f>YEAR(Scaleflow[[#This Row],[Signup_Date]])</f>
        <v>2023</v>
      </c>
      <c r="N272" t="str">
        <f>TEXT(Scaleflow[[#This Row],[Signup_Date]],"MMM")</f>
        <v>Apr</v>
      </c>
      <c r="O272" t="str">
        <f>IF(Scaleflow[[#This Row],[Monthly_Revenue]]=0,"Free","Paid")</f>
        <v>Paid</v>
      </c>
      <c r="P272">
        <f>YEAR(Scaleflow[[#This Row],[TransactionDate]])</f>
        <v>2023</v>
      </c>
      <c r="Q272">
        <f>MONTH(Scaleflow[[#This Row],[TransactionDate]])</f>
        <v>5</v>
      </c>
      <c r="R272" t="str">
        <f>TEXT(Scaleflow[[#This Row],[TransactionDate]],"MMM")</f>
        <v>May</v>
      </c>
    </row>
    <row r="273" spans="1:18" x14ac:dyDescent="0.3">
      <c r="A273" t="s">
        <v>307</v>
      </c>
      <c r="B273" s="1">
        <v>45535</v>
      </c>
      <c r="C273" s="1">
        <v>45956</v>
      </c>
      <c r="D273" t="s">
        <v>12</v>
      </c>
      <c r="E273" t="s">
        <v>39</v>
      </c>
      <c r="F273" t="s">
        <v>29</v>
      </c>
      <c r="G273" s="2">
        <v>11685</v>
      </c>
      <c r="H273" t="s">
        <v>34</v>
      </c>
      <c r="I273" t="s">
        <v>36</v>
      </c>
      <c r="J273">
        <v>2</v>
      </c>
      <c r="K273" t="s">
        <v>18</v>
      </c>
      <c r="L273" t="s">
        <v>17</v>
      </c>
      <c r="M273">
        <f>YEAR(Scaleflow[[#This Row],[Signup_Date]])</f>
        <v>2024</v>
      </c>
      <c r="N273" t="str">
        <f>TEXT(Scaleflow[[#This Row],[Signup_Date]],"MMM")</f>
        <v>Aug</v>
      </c>
      <c r="O273" t="str">
        <f>IF(Scaleflow[[#This Row],[Monthly_Revenue]]=0,"Free","Paid")</f>
        <v>Paid</v>
      </c>
      <c r="P273">
        <f>YEAR(Scaleflow[[#This Row],[TransactionDate]])</f>
        <v>2025</v>
      </c>
      <c r="Q273">
        <f>MONTH(Scaleflow[[#This Row],[TransactionDate]])</f>
        <v>10</v>
      </c>
      <c r="R273" t="str">
        <f>TEXT(Scaleflow[[#This Row],[TransactionDate]],"MMM")</f>
        <v>Oct</v>
      </c>
    </row>
    <row r="274" spans="1:18" x14ac:dyDescent="0.3">
      <c r="A274" t="s">
        <v>308</v>
      </c>
      <c r="B274" s="1">
        <v>45402</v>
      </c>
      <c r="C274" s="1">
        <v>45515</v>
      </c>
      <c r="D274" t="s">
        <v>20</v>
      </c>
      <c r="E274" t="s">
        <v>41</v>
      </c>
      <c r="F274" t="s">
        <v>29</v>
      </c>
      <c r="G274" s="2">
        <v>16238</v>
      </c>
      <c r="H274" t="s">
        <v>34</v>
      </c>
      <c r="I274" t="s">
        <v>31</v>
      </c>
      <c r="J274">
        <v>0</v>
      </c>
      <c r="K274" t="s">
        <v>17</v>
      </c>
      <c r="L274" t="s">
        <v>18</v>
      </c>
      <c r="M274">
        <f>YEAR(Scaleflow[[#This Row],[Signup_Date]])</f>
        <v>2024</v>
      </c>
      <c r="N274" t="str">
        <f>TEXT(Scaleflow[[#This Row],[Signup_Date]],"MMM")</f>
        <v>Apr</v>
      </c>
      <c r="O274" t="str">
        <f>IF(Scaleflow[[#This Row],[Monthly_Revenue]]=0,"Free","Paid")</f>
        <v>Paid</v>
      </c>
      <c r="P274">
        <f>YEAR(Scaleflow[[#This Row],[TransactionDate]])</f>
        <v>2024</v>
      </c>
      <c r="Q274">
        <f>MONTH(Scaleflow[[#This Row],[TransactionDate]])</f>
        <v>8</v>
      </c>
      <c r="R274" t="str">
        <f>TEXT(Scaleflow[[#This Row],[TransactionDate]],"MMM")</f>
        <v>Aug</v>
      </c>
    </row>
    <row r="275" spans="1:18" x14ac:dyDescent="0.3">
      <c r="A275" t="s">
        <v>309</v>
      </c>
      <c r="B275" s="1">
        <v>45580</v>
      </c>
      <c r="C275" s="1">
        <v>45724</v>
      </c>
      <c r="D275" t="s">
        <v>24</v>
      </c>
      <c r="E275" t="s">
        <v>41</v>
      </c>
      <c r="F275" t="s">
        <v>46</v>
      </c>
      <c r="G275" s="2">
        <v>58668</v>
      </c>
      <c r="H275" t="s">
        <v>30</v>
      </c>
      <c r="I275" t="s">
        <v>42</v>
      </c>
      <c r="J275">
        <v>1</v>
      </c>
      <c r="K275" t="s">
        <v>18</v>
      </c>
      <c r="L275" t="s">
        <v>17</v>
      </c>
      <c r="M275">
        <f>YEAR(Scaleflow[[#This Row],[Signup_Date]])</f>
        <v>2024</v>
      </c>
      <c r="N275" t="str">
        <f>TEXT(Scaleflow[[#This Row],[Signup_Date]],"MMM")</f>
        <v>Oct</v>
      </c>
      <c r="O275" t="str">
        <f>IF(Scaleflow[[#This Row],[Monthly_Revenue]]=0,"Free","Paid")</f>
        <v>Paid</v>
      </c>
      <c r="P275">
        <f>YEAR(Scaleflow[[#This Row],[TransactionDate]])</f>
        <v>2025</v>
      </c>
      <c r="Q275">
        <f>MONTH(Scaleflow[[#This Row],[TransactionDate]])</f>
        <v>3</v>
      </c>
      <c r="R275" t="str">
        <f>TEXT(Scaleflow[[#This Row],[TransactionDate]],"MMM")</f>
        <v>Mar</v>
      </c>
    </row>
    <row r="276" spans="1:18" x14ac:dyDescent="0.3">
      <c r="A276" t="s">
        <v>310</v>
      </c>
      <c r="B276" s="1">
        <v>45866</v>
      </c>
      <c r="C276" s="1">
        <v>45877</v>
      </c>
      <c r="D276" t="s">
        <v>20</v>
      </c>
      <c r="E276" t="s">
        <v>13</v>
      </c>
      <c r="F276" t="s">
        <v>46</v>
      </c>
      <c r="G276" s="2">
        <v>38279</v>
      </c>
      <c r="H276" t="s">
        <v>15</v>
      </c>
      <c r="I276" t="s">
        <v>27</v>
      </c>
      <c r="J276">
        <v>0</v>
      </c>
      <c r="K276" t="s">
        <v>18</v>
      </c>
      <c r="L276" t="s">
        <v>17</v>
      </c>
      <c r="M276">
        <f>YEAR(Scaleflow[[#This Row],[Signup_Date]])</f>
        <v>2025</v>
      </c>
      <c r="N276" t="str">
        <f>TEXT(Scaleflow[[#This Row],[Signup_Date]],"MMM")</f>
        <v>Jul</v>
      </c>
      <c r="O276" t="str">
        <f>IF(Scaleflow[[#This Row],[Monthly_Revenue]]=0,"Free","Paid")</f>
        <v>Paid</v>
      </c>
      <c r="P276">
        <f>YEAR(Scaleflow[[#This Row],[TransactionDate]])</f>
        <v>2025</v>
      </c>
      <c r="Q276">
        <f>MONTH(Scaleflow[[#This Row],[TransactionDate]])</f>
        <v>8</v>
      </c>
      <c r="R276" t="str">
        <f>TEXT(Scaleflow[[#This Row],[TransactionDate]],"MMM")</f>
        <v>Aug</v>
      </c>
    </row>
    <row r="277" spans="1:18" x14ac:dyDescent="0.3">
      <c r="A277" t="s">
        <v>311</v>
      </c>
      <c r="B277" s="1">
        <v>45014</v>
      </c>
      <c r="C277" s="1">
        <v>45961</v>
      </c>
      <c r="D277" t="s">
        <v>24</v>
      </c>
      <c r="E277" t="s">
        <v>13</v>
      </c>
      <c r="F277" t="s">
        <v>12</v>
      </c>
      <c r="G277" s="2">
        <v>173665</v>
      </c>
      <c r="H277" t="s">
        <v>26</v>
      </c>
      <c r="I277" t="s">
        <v>16</v>
      </c>
      <c r="J277">
        <v>4</v>
      </c>
      <c r="K277" t="s">
        <v>17</v>
      </c>
      <c r="L277" t="s">
        <v>18</v>
      </c>
      <c r="M277">
        <f>YEAR(Scaleflow[[#This Row],[Signup_Date]])</f>
        <v>2023</v>
      </c>
      <c r="N277" t="str">
        <f>TEXT(Scaleflow[[#This Row],[Signup_Date]],"MMM")</f>
        <v>Mar</v>
      </c>
      <c r="O277" t="str">
        <f>IF(Scaleflow[[#This Row],[Monthly_Revenue]]=0,"Free","Paid")</f>
        <v>Paid</v>
      </c>
      <c r="P277">
        <f>YEAR(Scaleflow[[#This Row],[TransactionDate]])</f>
        <v>2025</v>
      </c>
      <c r="Q277">
        <f>MONTH(Scaleflow[[#This Row],[TransactionDate]])</f>
        <v>10</v>
      </c>
      <c r="R277" t="str">
        <f>TEXT(Scaleflow[[#This Row],[TransactionDate]],"MMM")</f>
        <v>Oct</v>
      </c>
    </row>
    <row r="278" spans="1:18" x14ac:dyDescent="0.3">
      <c r="A278" t="s">
        <v>312</v>
      </c>
      <c r="B278" s="1">
        <v>45880</v>
      </c>
      <c r="C278" s="1">
        <v>45904</v>
      </c>
      <c r="D278" t="s">
        <v>24</v>
      </c>
      <c r="E278" t="s">
        <v>13</v>
      </c>
      <c r="F278" t="s">
        <v>12</v>
      </c>
      <c r="G278" s="2">
        <v>111069</v>
      </c>
      <c r="H278" t="s">
        <v>30</v>
      </c>
      <c r="I278" t="s">
        <v>16</v>
      </c>
      <c r="J278">
        <v>0</v>
      </c>
      <c r="K278" t="s">
        <v>18</v>
      </c>
      <c r="L278" t="s">
        <v>17</v>
      </c>
      <c r="M278">
        <f>YEAR(Scaleflow[[#This Row],[Signup_Date]])</f>
        <v>2025</v>
      </c>
      <c r="N278" t="str">
        <f>TEXT(Scaleflow[[#This Row],[Signup_Date]],"MMM")</f>
        <v>Aug</v>
      </c>
      <c r="O278" t="str">
        <f>IF(Scaleflow[[#This Row],[Monthly_Revenue]]=0,"Free","Paid")</f>
        <v>Paid</v>
      </c>
      <c r="P278">
        <f>YEAR(Scaleflow[[#This Row],[TransactionDate]])</f>
        <v>2025</v>
      </c>
      <c r="Q278">
        <f>MONTH(Scaleflow[[#This Row],[TransactionDate]])</f>
        <v>9</v>
      </c>
      <c r="R278" t="str">
        <f>TEXT(Scaleflow[[#This Row],[TransactionDate]],"MMM")</f>
        <v>Sep</v>
      </c>
    </row>
    <row r="279" spans="1:18" x14ac:dyDescent="0.3">
      <c r="A279" t="s">
        <v>313</v>
      </c>
      <c r="B279" s="1">
        <v>45565</v>
      </c>
      <c r="C279" s="1">
        <v>46001</v>
      </c>
      <c r="D279" t="s">
        <v>12</v>
      </c>
      <c r="E279" t="s">
        <v>13</v>
      </c>
      <c r="F279" t="s">
        <v>46</v>
      </c>
      <c r="G279" s="2">
        <v>40014</v>
      </c>
      <c r="H279" t="s">
        <v>15</v>
      </c>
      <c r="I279" t="s">
        <v>16</v>
      </c>
      <c r="J279">
        <v>5</v>
      </c>
      <c r="K279" t="s">
        <v>18</v>
      </c>
      <c r="L279" t="s">
        <v>17</v>
      </c>
      <c r="M279">
        <f>YEAR(Scaleflow[[#This Row],[Signup_Date]])</f>
        <v>2024</v>
      </c>
      <c r="N279" t="str">
        <f>TEXT(Scaleflow[[#This Row],[Signup_Date]],"MMM")</f>
        <v>Sep</v>
      </c>
      <c r="O279" t="str">
        <f>IF(Scaleflow[[#This Row],[Monthly_Revenue]]=0,"Free","Paid")</f>
        <v>Paid</v>
      </c>
      <c r="P279">
        <f>YEAR(Scaleflow[[#This Row],[TransactionDate]])</f>
        <v>2025</v>
      </c>
      <c r="Q279">
        <f>MONTH(Scaleflow[[#This Row],[TransactionDate]])</f>
        <v>12</v>
      </c>
      <c r="R279" t="str">
        <f>TEXT(Scaleflow[[#This Row],[TransactionDate]],"MMM")</f>
        <v>Dec</v>
      </c>
    </row>
    <row r="280" spans="1:18" x14ac:dyDescent="0.3">
      <c r="A280" t="s">
        <v>314</v>
      </c>
      <c r="B280" s="1">
        <v>45596</v>
      </c>
      <c r="C280" s="1">
        <v>45952</v>
      </c>
      <c r="D280" t="s">
        <v>24</v>
      </c>
      <c r="E280" t="s">
        <v>41</v>
      </c>
      <c r="F280" t="s">
        <v>14</v>
      </c>
      <c r="G280" s="2">
        <v>0</v>
      </c>
      <c r="H280" t="s">
        <v>22</v>
      </c>
      <c r="I280" t="s">
        <v>36</v>
      </c>
      <c r="J280">
        <v>3</v>
      </c>
      <c r="K280" t="s">
        <v>17</v>
      </c>
      <c r="L280" t="s">
        <v>18</v>
      </c>
      <c r="M280">
        <f>YEAR(Scaleflow[[#This Row],[Signup_Date]])</f>
        <v>2024</v>
      </c>
      <c r="N280" t="str">
        <f>TEXT(Scaleflow[[#This Row],[Signup_Date]],"MMM")</f>
        <v>Oct</v>
      </c>
      <c r="O280" t="str">
        <f>IF(Scaleflow[[#This Row],[Monthly_Revenue]]=0,"Free","Paid")</f>
        <v>Free</v>
      </c>
      <c r="P280">
        <f>YEAR(Scaleflow[[#This Row],[TransactionDate]])</f>
        <v>2025</v>
      </c>
      <c r="Q280">
        <f>MONTH(Scaleflow[[#This Row],[TransactionDate]])</f>
        <v>10</v>
      </c>
      <c r="R280" t="str">
        <f>TEXT(Scaleflow[[#This Row],[TransactionDate]],"MMM")</f>
        <v>Oct</v>
      </c>
    </row>
    <row r="281" spans="1:18" x14ac:dyDescent="0.3">
      <c r="A281" t="s">
        <v>315</v>
      </c>
      <c r="B281" s="1">
        <v>45483</v>
      </c>
      <c r="C281" s="1">
        <v>45912</v>
      </c>
      <c r="D281" t="s">
        <v>24</v>
      </c>
      <c r="E281" t="s">
        <v>25</v>
      </c>
      <c r="F281" t="s">
        <v>29</v>
      </c>
      <c r="G281" s="2">
        <v>13807</v>
      </c>
      <c r="H281" t="s">
        <v>30</v>
      </c>
      <c r="I281" t="s">
        <v>42</v>
      </c>
      <c r="J281">
        <v>1</v>
      </c>
      <c r="K281" t="s">
        <v>18</v>
      </c>
      <c r="L281" t="s">
        <v>17</v>
      </c>
      <c r="M281">
        <f>YEAR(Scaleflow[[#This Row],[Signup_Date]])</f>
        <v>2024</v>
      </c>
      <c r="N281" t="str">
        <f>TEXT(Scaleflow[[#This Row],[Signup_Date]],"MMM")</f>
        <v>Jul</v>
      </c>
      <c r="O281" t="str">
        <f>IF(Scaleflow[[#This Row],[Monthly_Revenue]]=0,"Free","Paid")</f>
        <v>Paid</v>
      </c>
      <c r="P281">
        <f>YEAR(Scaleflow[[#This Row],[TransactionDate]])</f>
        <v>2025</v>
      </c>
      <c r="Q281">
        <f>MONTH(Scaleflow[[#This Row],[TransactionDate]])</f>
        <v>9</v>
      </c>
      <c r="R281" t="str">
        <f>TEXT(Scaleflow[[#This Row],[TransactionDate]],"MMM")</f>
        <v>Sep</v>
      </c>
    </row>
    <row r="282" spans="1:18" x14ac:dyDescent="0.3">
      <c r="A282" t="s">
        <v>316</v>
      </c>
      <c r="B282" s="1">
        <v>45117</v>
      </c>
      <c r="C282" s="1">
        <v>45736</v>
      </c>
      <c r="D282" t="s">
        <v>24</v>
      </c>
      <c r="E282" t="s">
        <v>33</v>
      </c>
      <c r="F282" t="s">
        <v>46</v>
      </c>
      <c r="G282" s="2">
        <v>35667</v>
      </c>
      <c r="H282" t="s">
        <v>26</v>
      </c>
      <c r="I282" t="s">
        <v>16</v>
      </c>
      <c r="J282">
        <v>0</v>
      </c>
      <c r="K282" t="s">
        <v>17</v>
      </c>
      <c r="L282" t="s">
        <v>18</v>
      </c>
      <c r="M282">
        <f>YEAR(Scaleflow[[#This Row],[Signup_Date]])</f>
        <v>2023</v>
      </c>
      <c r="N282" t="str">
        <f>TEXT(Scaleflow[[#This Row],[Signup_Date]],"MMM")</f>
        <v>Jul</v>
      </c>
      <c r="O282" t="str">
        <f>IF(Scaleflow[[#This Row],[Monthly_Revenue]]=0,"Free","Paid")</f>
        <v>Paid</v>
      </c>
      <c r="P282">
        <f>YEAR(Scaleflow[[#This Row],[TransactionDate]])</f>
        <v>2025</v>
      </c>
      <c r="Q282">
        <f>MONTH(Scaleflow[[#This Row],[TransactionDate]])</f>
        <v>3</v>
      </c>
      <c r="R282" t="str">
        <f>TEXT(Scaleflow[[#This Row],[TransactionDate]],"MMM")</f>
        <v>Mar</v>
      </c>
    </row>
    <row r="283" spans="1:18" x14ac:dyDescent="0.3">
      <c r="A283" t="s">
        <v>317</v>
      </c>
      <c r="B283" s="1">
        <v>45362</v>
      </c>
      <c r="C283" s="1">
        <v>45516</v>
      </c>
      <c r="D283" t="s">
        <v>20</v>
      </c>
      <c r="E283" t="s">
        <v>41</v>
      </c>
      <c r="F283" t="s">
        <v>29</v>
      </c>
      <c r="G283" s="2">
        <v>9285</v>
      </c>
      <c r="H283" t="s">
        <v>15</v>
      </c>
      <c r="I283" t="s">
        <v>16</v>
      </c>
      <c r="J283">
        <v>1</v>
      </c>
      <c r="K283" t="s">
        <v>18</v>
      </c>
      <c r="L283" t="s">
        <v>17</v>
      </c>
      <c r="M283">
        <f>YEAR(Scaleflow[[#This Row],[Signup_Date]])</f>
        <v>2024</v>
      </c>
      <c r="N283" t="str">
        <f>TEXT(Scaleflow[[#This Row],[Signup_Date]],"MMM")</f>
        <v>Mar</v>
      </c>
      <c r="O283" t="str">
        <f>IF(Scaleflow[[#This Row],[Monthly_Revenue]]=0,"Free","Paid")</f>
        <v>Paid</v>
      </c>
      <c r="P283">
        <f>YEAR(Scaleflow[[#This Row],[TransactionDate]])</f>
        <v>2024</v>
      </c>
      <c r="Q283">
        <f>MONTH(Scaleflow[[#This Row],[TransactionDate]])</f>
        <v>8</v>
      </c>
      <c r="R283" t="str">
        <f>TEXT(Scaleflow[[#This Row],[TransactionDate]],"MMM")</f>
        <v>Aug</v>
      </c>
    </row>
    <row r="284" spans="1:18" x14ac:dyDescent="0.3">
      <c r="A284" t="s">
        <v>318</v>
      </c>
      <c r="B284" s="1">
        <v>45820</v>
      </c>
      <c r="C284" s="1">
        <v>45921</v>
      </c>
      <c r="D284" t="s">
        <v>24</v>
      </c>
      <c r="E284" t="s">
        <v>33</v>
      </c>
      <c r="F284" t="s">
        <v>46</v>
      </c>
      <c r="G284" s="2">
        <v>41987</v>
      </c>
      <c r="H284" t="s">
        <v>15</v>
      </c>
      <c r="I284" t="s">
        <v>36</v>
      </c>
      <c r="J284">
        <v>0</v>
      </c>
      <c r="K284" t="s">
        <v>18</v>
      </c>
      <c r="L284" t="s">
        <v>17</v>
      </c>
      <c r="M284">
        <f>YEAR(Scaleflow[[#This Row],[Signup_Date]])</f>
        <v>2025</v>
      </c>
      <c r="N284" t="str">
        <f>TEXT(Scaleflow[[#This Row],[Signup_Date]],"MMM")</f>
        <v>Jun</v>
      </c>
      <c r="O284" t="str">
        <f>IF(Scaleflow[[#This Row],[Monthly_Revenue]]=0,"Free","Paid")</f>
        <v>Paid</v>
      </c>
      <c r="P284">
        <f>YEAR(Scaleflow[[#This Row],[TransactionDate]])</f>
        <v>2025</v>
      </c>
      <c r="Q284">
        <f>MONTH(Scaleflow[[#This Row],[TransactionDate]])</f>
        <v>9</v>
      </c>
      <c r="R284" t="str">
        <f>TEXT(Scaleflow[[#This Row],[TransactionDate]],"MMM")</f>
        <v>Sep</v>
      </c>
    </row>
    <row r="285" spans="1:18" x14ac:dyDescent="0.3">
      <c r="A285" t="s">
        <v>319</v>
      </c>
      <c r="B285" s="1">
        <v>45441</v>
      </c>
      <c r="C285" s="1">
        <v>45800</v>
      </c>
      <c r="D285" t="s">
        <v>20</v>
      </c>
      <c r="E285" t="s">
        <v>13</v>
      </c>
      <c r="F285" t="s">
        <v>12</v>
      </c>
      <c r="G285" s="2">
        <v>194771</v>
      </c>
      <c r="H285" t="s">
        <v>49</v>
      </c>
      <c r="I285" t="s">
        <v>42</v>
      </c>
      <c r="J285">
        <v>2</v>
      </c>
      <c r="K285" t="s">
        <v>17</v>
      </c>
      <c r="L285" t="s">
        <v>18</v>
      </c>
      <c r="M285">
        <f>YEAR(Scaleflow[[#This Row],[Signup_Date]])</f>
        <v>2024</v>
      </c>
      <c r="N285" t="str">
        <f>TEXT(Scaleflow[[#This Row],[Signup_Date]],"MMM")</f>
        <v>May</v>
      </c>
      <c r="O285" t="str">
        <f>IF(Scaleflow[[#This Row],[Monthly_Revenue]]=0,"Free","Paid")</f>
        <v>Paid</v>
      </c>
      <c r="P285">
        <f>YEAR(Scaleflow[[#This Row],[TransactionDate]])</f>
        <v>2025</v>
      </c>
      <c r="Q285">
        <f>MONTH(Scaleflow[[#This Row],[TransactionDate]])</f>
        <v>5</v>
      </c>
      <c r="R285" t="str">
        <f>TEXT(Scaleflow[[#This Row],[TransactionDate]],"MMM")</f>
        <v>May</v>
      </c>
    </row>
    <row r="286" spans="1:18" x14ac:dyDescent="0.3">
      <c r="A286" t="s">
        <v>320</v>
      </c>
      <c r="B286" s="1">
        <v>45426</v>
      </c>
      <c r="C286" s="1">
        <v>45824</v>
      </c>
      <c r="D286" t="s">
        <v>12</v>
      </c>
      <c r="E286" t="s">
        <v>13</v>
      </c>
      <c r="F286" t="s">
        <v>46</v>
      </c>
      <c r="G286" s="2">
        <v>28064</v>
      </c>
      <c r="H286" t="s">
        <v>49</v>
      </c>
      <c r="I286" t="s">
        <v>16</v>
      </c>
      <c r="J286">
        <v>5</v>
      </c>
      <c r="K286" t="s">
        <v>18</v>
      </c>
      <c r="L286" t="s">
        <v>17</v>
      </c>
      <c r="M286">
        <f>YEAR(Scaleflow[[#This Row],[Signup_Date]])</f>
        <v>2024</v>
      </c>
      <c r="N286" t="str">
        <f>TEXT(Scaleflow[[#This Row],[Signup_Date]],"MMM")</f>
        <v>May</v>
      </c>
      <c r="O286" t="str">
        <f>IF(Scaleflow[[#This Row],[Monthly_Revenue]]=0,"Free","Paid")</f>
        <v>Paid</v>
      </c>
      <c r="P286">
        <f>YEAR(Scaleflow[[#This Row],[TransactionDate]])</f>
        <v>2025</v>
      </c>
      <c r="Q286">
        <f>MONTH(Scaleflow[[#This Row],[TransactionDate]])</f>
        <v>6</v>
      </c>
      <c r="R286" t="str">
        <f>TEXT(Scaleflow[[#This Row],[TransactionDate]],"MMM")</f>
        <v>Jun</v>
      </c>
    </row>
    <row r="287" spans="1:18" x14ac:dyDescent="0.3">
      <c r="A287" t="s">
        <v>321</v>
      </c>
      <c r="B287" s="1">
        <v>45224</v>
      </c>
      <c r="C287" s="1">
        <v>45412</v>
      </c>
      <c r="D287" t="s">
        <v>24</v>
      </c>
      <c r="E287" t="s">
        <v>39</v>
      </c>
      <c r="F287" t="s">
        <v>29</v>
      </c>
      <c r="G287" s="2">
        <v>12910</v>
      </c>
      <c r="H287" t="s">
        <v>15</v>
      </c>
      <c r="I287" t="s">
        <v>42</v>
      </c>
      <c r="J287">
        <v>2</v>
      </c>
      <c r="K287" t="s">
        <v>17</v>
      </c>
      <c r="L287" t="s">
        <v>18</v>
      </c>
      <c r="M287">
        <f>YEAR(Scaleflow[[#This Row],[Signup_Date]])</f>
        <v>2023</v>
      </c>
      <c r="N287" t="str">
        <f>TEXT(Scaleflow[[#This Row],[Signup_Date]],"MMM")</f>
        <v>Oct</v>
      </c>
      <c r="O287" t="str">
        <f>IF(Scaleflow[[#This Row],[Monthly_Revenue]]=0,"Free","Paid")</f>
        <v>Paid</v>
      </c>
      <c r="P287">
        <f>YEAR(Scaleflow[[#This Row],[TransactionDate]])</f>
        <v>2024</v>
      </c>
      <c r="Q287">
        <f>MONTH(Scaleflow[[#This Row],[TransactionDate]])</f>
        <v>4</v>
      </c>
      <c r="R287" t="str">
        <f>TEXT(Scaleflow[[#This Row],[TransactionDate]],"MMM")</f>
        <v>Apr</v>
      </c>
    </row>
    <row r="288" spans="1:18" x14ac:dyDescent="0.3">
      <c r="A288" t="s">
        <v>322</v>
      </c>
      <c r="B288" s="1">
        <v>45560</v>
      </c>
      <c r="C288" s="1">
        <v>45710</v>
      </c>
      <c r="D288" t="s">
        <v>20</v>
      </c>
      <c r="E288" t="s">
        <v>25</v>
      </c>
      <c r="F288" t="s">
        <v>29</v>
      </c>
      <c r="G288" s="2">
        <v>11025</v>
      </c>
      <c r="H288" t="s">
        <v>30</v>
      </c>
      <c r="I288" t="s">
        <v>16</v>
      </c>
      <c r="J288">
        <v>1</v>
      </c>
      <c r="K288" t="s">
        <v>17</v>
      </c>
      <c r="L288" t="s">
        <v>18</v>
      </c>
      <c r="M288">
        <f>YEAR(Scaleflow[[#This Row],[Signup_Date]])</f>
        <v>2024</v>
      </c>
      <c r="N288" t="str">
        <f>TEXT(Scaleflow[[#This Row],[Signup_Date]],"MMM")</f>
        <v>Sep</v>
      </c>
      <c r="O288" t="str">
        <f>IF(Scaleflow[[#This Row],[Monthly_Revenue]]=0,"Free","Paid")</f>
        <v>Paid</v>
      </c>
      <c r="P288">
        <f>YEAR(Scaleflow[[#This Row],[TransactionDate]])</f>
        <v>2025</v>
      </c>
      <c r="Q288">
        <f>MONTH(Scaleflow[[#This Row],[TransactionDate]])</f>
        <v>2</v>
      </c>
      <c r="R288" t="str">
        <f>TEXT(Scaleflow[[#This Row],[TransactionDate]],"MMM")</f>
        <v>Feb</v>
      </c>
    </row>
    <row r="289" spans="1:18" x14ac:dyDescent="0.3">
      <c r="A289" t="s">
        <v>323</v>
      </c>
      <c r="B289" s="1">
        <v>45126</v>
      </c>
      <c r="C289" s="1">
        <v>45695</v>
      </c>
      <c r="D289" t="s">
        <v>24</v>
      </c>
      <c r="E289" t="s">
        <v>13</v>
      </c>
      <c r="F289" t="s">
        <v>29</v>
      </c>
      <c r="G289" s="2">
        <v>7684</v>
      </c>
      <c r="H289" t="s">
        <v>22</v>
      </c>
      <c r="I289" t="s">
        <v>16</v>
      </c>
      <c r="J289">
        <v>5</v>
      </c>
      <c r="K289" t="s">
        <v>18</v>
      </c>
      <c r="L289" t="s">
        <v>17</v>
      </c>
      <c r="M289">
        <f>YEAR(Scaleflow[[#This Row],[Signup_Date]])</f>
        <v>2023</v>
      </c>
      <c r="N289" t="str">
        <f>TEXT(Scaleflow[[#This Row],[Signup_Date]],"MMM")</f>
        <v>Jul</v>
      </c>
      <c r="O289" t="str">
        <f>IF(Scaleflow[[#This Row],[Monthly_Revenue]]=0,"Free","Paid")</f>
        <v>Paid</v>
      </c>
      <c r="P289">
        <f>YEAR(Scaleflow[[#This Row],[TransactionDate]])</f>
        <v>2025</v>
      </c>
      <c r="Q289">
        <f>MONTH(Scaleflow[[#This Row],[TransactionDate]])</f>
        <v>2</v>
      </c>
      <c r="R289" t="str">
        <f>TEXT(Scaleflow[[#This Row],[TransactionDate]],"MMM")</f>
        <v>Feb</v>
      </c>
    </row>
    <row r="290" spans="1:18" x14ac:dyDescent="0.3">
      <c r="A290" t="s">
        <v>324</v>
      </c>
      <c r="B290" s="1">
        <v>45188</v>
      </c>
      <c r="C290" s="1">
        <v>45872</v>
      </c>
      <c r="D290" t="s">
        <v>24</v>
      </c>
      <c r="E290" t="s">
        <v>25</v>
      </c>
      <c r="F290" t="s">
        <v>29</v>
      </c>
      <c r="G290" s="2">
        <v>7886</v>
      </c>
      <c r="H290" t="s">
        <v>34</v>
      </c>
      <c r="I290" t="s">
        <v>31</v>
      </c>
      <c r="J290">
        <v>2</v>
      </c>
      <c r="K290" t="s">
        <v>18</v>
      </c>
      <c r="L290" t="s">
        <v>17</v>
      </c>
      <c r="M290">
        <f>YEAR(Scaleflow[[#This Row],[Signup_Date]])</f>
        <v>2023</v>
      </c>
      <c r="N290" t="str">
        <f>TEXT(Scaleflow[[#This Row],[Signup_Date]],"MMM")</f>
        <v>Sep</v>
      </c>
      <c r="O290" t="str">
        <f>IF(Scaleflow[[#This Row],[Monthly_Revenue]]=0,"Free","Paid")</f>
        <v>Paid</v>
      </c>
      <c r="P290">
        <f>YEAR(Scaleflow[[#This Row],[TransactionDate]])</f>
        <v>2025</v>
      </c>
      <c r="Q290">
        <f>MONTH(Scaleflow[[#This Row],[TransactionDate]])</f>
        <v>8</v>
      </c>
      <c r="R290" t="str">
        <f>TEXT(Scaleflow[[#This Row],[TransactionDate]],"MMM")</f>
        <v>Aug</v>
      </c>
    </row>
    <row r="291" spans="1:18" x14ac:dyDescent="0.3">
      <c r="A291" t="s">
        <v>325</v>
      </c>
      <c r="B291" s="1">
        <v>45251</v>
      </c>
      <c r="C291" s="1">
        <v>45927</v>
      </c>
      <c r="D291" t="s">
        <v>12</v>
      </c>
      <c r="E291" t="s">
        <v>41</v>
      </c>
      <c r="F291" t="s">
        <v>14</v>
      </c>
      <c r="G291" s="2">
        <v>0</v>
      </c>
      <c r="H291" t="s">
        <v>34</v>
      </c>
      <c r="I291" t="s">
        <v>27</v>
      </c>
      <c r="J291">
        <v>2</v>
      </c>
      <c r="K291" t="s">
        <v>17</v>
      </c>
      <c r="L291" t="s">
        <v>18</v>
      </c>
      <c r="M291">
        <f>YEAR(Scaleflow[[#This Row],[Signup_Date]])</f>
        <v>2023</v>
      </c>
      <c r="N291" t="str">
        <f>TEXT(Scaleflow[[#This Row],[Signup_Date]],"MMM")</f>
        <v>Nov</v>
      </c>
      <c r="O291" t="str">
        <f>IF(Scaleflow[[#This Row],[Monthly_Revenue]]=0,"Free","Paid")</f>
        <v>Free</v>
      </c>
      <c r="P291">
        <f>YEAR(Scaleflow[[#This Row],[TransactionDate]])</f>
        <v>2025</v>
      </c>
      <c r="Q291">
        <f>MONTH(Scaleflow[[#This Row],[TransactionDate]])</f>
        <v>9</v>
      </c>
      <c r="R291" t="str">
        <f>TEXT(Scaleflow[[#This Row],[TransactionDate]],"MMM")</f>
        <v>Sep</v>
      </c>
    </row>
    <row r="292" spans="1:18" x14ac:dyDescent="0.3">
      <c r="A292" t="s">
        <v>326</v>
      </c>
      <c r="B292" s="1">
        <v>45060</v>
      </c>
      <c r="C292" s="1">
        <v>45865</v>
      </c>
      <c r="D292" t="s">
        <v>24</v>
      </c>
      <c r="E292" t="s">
        <v>39</v>
      </c>
      <c r="F292" t="s">
        <v>14</v>
      </c>
      <c r="G292" s="2">
        <v>0</v>
      </c>
      <c r="H292" t="s">
        <v>34</v>
      </c>
      <c r="I292" t="s">
        <v>16</v>
      </c>
      <c r="J292">
        <v>5</v>
      </c>
      <c r="K292" t="s">
        <v>17</v>
      </c>
      <c r="L292" t="s">
        <v>18</v>
      </c>
      <c r="M292">
        <f>YEAR(Scaleflow[[#This Row],[Signup_Date]])</f>
        <v>2023</v>
      </c>
      <c r="N292" t="str">
        <f>TEXT(Scaleflow[[#This Row],[Signup_Date]],"MMM")</f>
        <v>May</v>
      </c>
      <c r="O292" t="str">
        <f>IF(Scaleflow[[#This Row],[Monthly_Revenue]]=0,"Free","Paid")</f>
        <v>Free</v>
      </c>
      <c r="P292">
        <f>YEAR(Scaleflow[[#This Row],[TransactionDate]])</f>
        <v>2025</v>
      </c>
      <c r="Q292">
        <f>MONTH(Scaleflow[[#This Row],[TransactionDate]])</f>
        <v>7</v>
      </c>
      <c r="R292" t="str">
        <f>TEXT(Scaleflow[[#This Row],[TransactionDate]],"MMM")</f>
        <v>Jul</v>
      </c>
    </row>
    <row r="293" spans="1:18" x14ac:dyDescent="0.3">
      <c r="A293" t="s">
        <v>327</v>
      </c>
      <c r="B293" s="1">
        <v>45648</v>
      </c>
      <c r="C293" s="1">
        <v>45865</v>
      </c>
      <c r="D293" t="s">
        <v>24</v>
      </c>
      <c r="E293" t="s">
        <v>25</v>
      </c>
      <c r="F293" t="s">
        <v>14</v>
      </c>
      <c r="G293" s="2">
        <v>0</v>
      </c>
      <c r="H293" t="s">
        <v>34</v>
      </c>
      <c r="I293" t="s">
        <v>16</v>
      </c>
      <c r="J293">
        <v>2</v>
      </c>
      <c r="K293" t="s">
        <v>17</v>
      </c>
      <c r="L293" t="s">
        <v>18</v>
      </c>
      <c r="M293">
        <f>YEAR(Scaleflow[[#This Row],[Signup_Date]])</f>
        <v>2024</v>
      </c>
      <c r="N293" t="str">
        <f>TEXT(Scaleflow[[#This Row],[Signup_Date]],"MMM")</f>
        <v>Dec</v>
      </c>
      <c r="O293" t="str">
        <f>IF(Scaleflow[[#This Row],[Monthly_Revenue]]=0,"Free","Paid")</f>
        <v>Free</v>
      </c>
      <c r="P293">
        <f>YEAR(Scaleflow[[#This Row],[TransactionDate]])</f>
        <v>2025</v>
      </c>
      <c r="Q293">
        <f>MONTH(Scaleflow[[#This Row],[TransactionDate]])</f>
        <v>7</v>
      </c>
      <c r="R293" t="str">
        <f>TEXT(Scaleflow[[#This Row],[TransactionDate]],"MMM")</f>
        <v>Jul</v>
      </c>
    </row>
    <row r="294" spans="1:18" x14ac:dyDescent="0.3">
      <c r="A294" t="s">
        <v>328</v>
      </c>
      <c r="B294" s="1">
        <v>45241</v>
      </c>
      <c r="C294" s="1">
        <v>45418</v>
      </c>
      <c r="D294" t="s">
        <v>24</v>
      </c>
      <c r="E294" t="s">
        <v>25</v>
      </c>
      <c r="F294" t="s">
        <v>29</v>
      </c>
      <c r="G294" s="2">
        <v>14715</v>
      </c>
      <c r="H294" t="s">
        <v>22</v>
      </c>
      <c r="I294" t="s">
        <v>42</v>
      </c>
      <c r="J294">
        <v>4</v>
      </c>
      <c r="K294" t="s">
        <v>18</v>
      </c>
      <c r="L294" t="s">
        <v>17</v>
      </c>
      <c r="M294">
        <f>YEAR(Scaleflow[[#This Row],[Signup_Date]])</f>
        <v>2023</v>
      </c>
      <c r="N294" t="str">
        <f>TEXT(Scaleflow[[#This Row],[Signup_Date]],"MMM")</f>
        <v>Nov</v>
      </c>
      <c r="O294" t="str">
        <f>IF(Scaleflow[[#This Row],[Monthly_Revenue]]=0,"Free","Paid")</f>
        <v>Paid</v>
      </c>
      <c r="P294">
        <f>YEAR(Scaleflow[[#This Row],[TransactionDate]])</f>
        <v>2024</v>
      </c>
      <c r="Q294">
        <f>MONTH(Scaleflow[[#This Row],[TransactionDate]])</f>
        <v>5</v>
      </c>
      <c r="R294" t="str">
        <f>TEXT(Scaleflow[[#This Row],[TransactionDate]],"MMM")</f>
        <v>May</v>
      </c>
    </row>
    <row r="295" spans="1:18" x14ac:dyDescent="0.3">
      <c r="A295" t="s">
        <v>329</v>
      </c>
      <c r="B295" s="1">
        <v>45911</v>
      </c>
      <c r="C295" s="1">
        <v>45926</v>
      </c>
      <c r="D295" t="s">
        <v>12</v>
      </c>
      <c r="E295" t="s">
        <v>41</v>
      </c>
      <c r="F295" t="s">
        <v>29</v>
      </c>
      <c r="G295" s="2">
        <v>9558</v>
      </c>
      <c r="H295" t="s">
        <v>26</v>
      </c>
      <c r="I295" t="s">
        <v>31</v>
      </c>
      <c r="J295">
        <v>4</v>
      </c>
      <c r="K295" t="s">
        <v>18</v>
      </c>
      <c r="L295" t="s">
        <v>17</v>
      </c>
      <c r="M295">
        <f>YEAR(Scaleflow[[#This Row],[Signup_Date]])</f>
        <v>2025</v>
      </c>
      <c r="N295" t="str">
        <f>TEXT(Scaleflow[[#This Row],[Signup_Date]],"MMM")</f>
        <v>Sep</v>
      </c>
      <c r="O295" t="str">
        <f>IF(Scaleflow[[#This Row],[Monthly_Revenue]]=0,"Free","Paid")</f>
        <v>Paid</v>
      </c>
      <c r="P295">
        <f>YEAR(Scaleflow[[#This Row],[TransactionDate]])</f>
        <v>2025</v>
      </c>
      <c r="Q295">
        <f>MONTH(Scaleflow[[#This Row],[TransactionDate]])</f>
        <v>9</v>
      </c>
      <c r="R295" t="str">
        <f>TEXT(Scaleflow[[#This Row],[TransactionDate]],"MMM")</f>
        <v>Sep</v>
      </c>
    </row>
    <row r="296" spans="1:18" x14ac:dyDescent="0.3">
      <c r="A296" t="s">
        <v>330</v>
      </c>
      <c r="B296" s="1">
        <v>45283</v>
      </c>
      <c r="C296" s="1">
        <v>45841</v>
      </c>
      <c r="D296" t="s">
        <v>12</v>
      </c>
      <c r="E296" t="s">
        <v>33</v>
      </c>
      <c r="F296" t="s">
        <v>46</v>
      </c>
      <c r="G296" s="2">
        <v>37024</v>
      </c>
      <c r="H296" t="s">
        <v>34</v>
      </c>
      <c r="I296" t="s">
        <v>27</v>
      </c>
      <c r="J296">
        <v>4</v>
      </c>
      <c r="K296" t="s">
        <v>18</v>
      </c>
      <c r="L296" t="s">
        <v>17</v>
      </c>
      <c r="M296">
        <f>YEAR(Scaleflow[[#This Row],[Signup_Date]])</f>
        <v>2023</v>
      </c>
      <c r="N296" t="str">
        <f>TEXT(Scaleflow[[#This Row],[Signup_Date]],"MMM")</f>
        <v>Dec</v>
      </c>
      <c r="O296" t="str">
        <f>IF(Scaleflow[[#This Row],[Monthly_Revenue]]=0,"Free","Paid")</f>
        <v>Paid</v>
      </c>
      <c r="P296">
        <f>YEAR(Scaleflow[[#This Row],[TransactionDate]])</f>
        <v>2025</v>
      </c>
      <c r="Q296">
        <f>MONTH(Scaleflow[[#This Row],[TransactionDate]])</f>
        <v>7</v>
      </c>
      <c r="R296" t="str">
        <f>TEXT(Scaleflow[[#This Row],[TransactionDate]],"MMM")</f>
        <v>Jul</v>
      </c>
    </row>
    <row r="297" spans="1:18" x14ac:dyDescent="0.3">
      <c r="A297" t="s">
        <v>331</v>
      </c>
      <c r="B297" s="1">
        <v>45460</v>
      </c>
      <c r="C297" s="1">
        <v>45756</v>
      </c>
      <c r="D297" t="s">
        <v>20</v>
      </c>
      <c r="E297" t="s">
        <v>13</v>
      </c>
      <c r="F297" t="s">
        <v>46</v>
      </c>
      <c r="G297" s="2">
        <v>25617</v>
      </c>
      <c r="H297" t="s">
        <v>49</v>
      </c>
      <c r="I297" t="s">
        <v>27</v>
      </c>
      <c r="J297">
        <v>5</v>
      </c>
      <c r="K297" t="s">
        <v>18</v>
      </c>
      <c r="L297" t="s">
        <v>17</v>
      </c>
      <c r="M297">
        <f>YEAR(Scaleflow[[#This Row],[Signup_Date]])</f>
        <v>2024</v>
      </c>
      <c r="N297" t="str">
        <f>TEXT(Scaleflow[[#This Row],[Signup_Date]],"MMM")</f>
        <v>Jun</v>
      </c>
      <c r="O297" t="str">
        <f>IF(Scaleflow[[#This Row],[Monthly_Revenue]]=0,"Free","Paid")</f>
        <v>Paid</v>
      </c>
      <c r="P297">
        <f>YEAR(Scaleflow[[#This Row],[TransactionDate]])</f>
        <v>2025</v>
      </c>
      <c r="Q297">
        <f>MONTH(Scaleflow[[#This Row],[TransactionDate]])</f>
        <v>4</v>
      </c>
      <c r="R297" t="str">
        <f>TEXT(Scaleflow[[#This Row],[TransactionDate]],"MMM")</f>
        <v>Apr</v>
      </c>
    </row>
    <row r="298" spans="1:18" x14ac:dyDescent="0.3">
      <c r="A298" t="s">
        <v>332</v>
      </c>
      <c r="B298" s="1">
        <v>45864</v>
      </c>
      <c r="C298" s="1">
        <v>45912</v>
      </c>
      <c r="D298" t="s">
        <v>20</v>
      </c>
      <c r="E298" t="s">
        <v>21</v>
      </c>
      <c r="F298" t="s">
        <v>14</v>
      </c>
      <c r="G298" s="2">
        <v>0</v>
      </c>
      <c r="H298" t="s">
        <v>30</v>
      </c>
      <c r="I298" t="s">
        <v>36</v>
      </c>
      <c r="J298">
        <v>5</v>
      </c>
      <c r="K298" t="s">
        <v>17</v>
      </c>
      <c r="L298" t="s">
        <v>18</v>
      </c>
      <c r="M298">
        <f>YEAR(Scaleflow[[#This Row],[Signup_Date]])</f>
        <v>2025</v>
      </c>
      <c r="N298" t="str">
        <f>TEXT(Scaleflow[[#This Row],[Signup_Date]],"MMM")</f>
        <v>Jul</v>
      </c>
      <c r="O298" t="str">
        <f>IF(Scaleflow[[#This Row],[Monthly_Revenue]]=0,"Free","Paid")</f>
        <v>Free</v>
      </c>
      <c r="P298">
        <f>YEAR(Scaleflow[[#This Row],[TransactionDate]])</f>
        <v>2025</v>
      </c>
      <c r="Q298">
        <f>MONTH(Scaleflow[[#This Row],[TransactionDate]])</f>
        <v>9</v>
      </c>
      <c r="R298" t="str">
        <f>TEXT(Scaleflow[[#This Row],[TransactionDate]],"MMM")</f>
        <v>Sep</v>
      </c>
    </row>
    <row r="299" spans="1:18" x14ac:dyDescent="0.3">
      <c r="A299" t="s">
        <v>333</v>
      </c>
      <c r="B299" s="1">
        <v>45209</v>
      </c>
      <c r="C299" s="1">
        <v>45840</v>
      </c>
      <c r="D299" t="s">
        <v>24</v>
      </c>
      <c r="E299" t="s">
        <v>13</v>
      </c>
      <c r="F299" t="s">
        <v>12</v>
      </c>
      <c r="G299" s="2">
        <v>244567</v>
      </c>
      <c r="H299" t="s">
        <v>34</v>
      </c>
      <c r="I299" t="s">
        <v>31</v>
      </c>
      <c r="J299">
        <v>0</v>
      </c>
      <c r="K299" t="s">
        <v>18</v>
      </c>
      <c r="L299" t="s">
        <v>17</v>
      </c>
      <c r="M299">
        <f>YEAR(Scaleflow[[#This Row],[Signup_Date]])</f>
        <v>2023</v>
      </c>
      <c r="N299" t="str">
        <f>TEXT(Scaleflow[[#This Row],[Signup_Date]],"MMM")</f>
        <v>Oct</v>
      </c>
      <c r="O299" t="str">
        <f>IF(Scaleflow[[#This Row],[Monthly_Revenue]]=0,"Free","Paid")</f>
        <v>Paid</v>
      </c>
      <c r="P299">
        <f>YEAR(Scaleflow[[#This Row],[TransactionDate]])</f>
        <v>2025</v>
      </c>
      <c r="Q299">
        <f>MONTH(Scaleflow[[#This Row],[TransactionDate]])</f>
        <v>7</v>
      </c>
      <c r="R299" t="str">
        <f>TEXT(Scaleflow[[#This Row],[TransactionDate]],"MMM")</f>
        <v>Jul</v>
      </c>
    </row>
    <row r="300" spans="1:18" x14ac:dyDescent="0.3">
      <c r="A300" t="s">
        <v>334</v>
      </c>
      <c r="B300" s="1">
        <v>45152</v>
      </c>
      <c r="C300" s="1">
        <v>45525</v>
      </c>
      <c r="D300" t="s">
        <v>24</v>
      </c>
      <c r="E300" t="s">
        <v>25</v>
      </c>
      <c r="F300" t="s">
        <v>29</v>
      </c>
      <c r="G300" s="2">
        <v>15690</v>
      </c>
      <c r="H300" t="s">
        <v>30</v>
      </c>
      <c r="I300" t="s">
        <v>42</v>
      </c>
      <c r="J300">
        <v>5</v>
      </c>
      <c r="K300" t="s">
        <v>18</v>
      </c>
      <c r="L300" t="s">
        <v>17</v>
      </c>
      <c r="M300">
        <f>YEAR(Scaleflow[[#This Row],[Signup_Date]])</f>
        <v>2023</v>
      </c>
      <c r="N300" t="str">
        <f>TEXT(Scaleflow[[#This Row],[Signup_Date]],"MMM")</f>
        <v>Aug</v>
      </c>
      <c r="O300" t="str">
        <f>IF(Scaleflow[[#This Row],[Monthly_Revenue]]=0,"Free","Paid")</f>
        <v>Paid</v>
      </c>
      <c r="P300">
        <f>YEAR(Scaleflow[[#This Row],[TransactionDate]])</f>
        <v>2024</v>
      </c>
      <c r="Q300">
        <f>MONTH(Scaleflow[[#This Row],[TransactionDate]])</f>
        <v>8</v>
      </c>
      <c r="R300" t="str">
        <f>TEXT(Scaleflow[[#This Row],[TransactionDate]],"MMM")</f>
        <v>Aug</v>
      </c>
    </row>
    <row r="301" spans="1:18" x14ac:dyDescent="0.3">
      <c r="A301" t="s">
        <v>335</v>
      </c>
      <c r="B301" s="1">
        <v>45648</v>
      </c>
      <c r="C301" s="1">
        <v>46004</v>
      </c>
      <c r="D301" t="s">
        <v>12</v>
      </c>
      <c r="E301" t="s">
        <v>21</v>
      </c>
      <c r="F301" t="s">
        <v>29</v>
      </c>
      <c r="G301" s="2">
        <v>9763</v>
      </c>
      <c r="H301" t="s">
        <v>34</v>
      </c>
      <c r="I301" t="s">
        <v>16</v>
      </c>
      <c r="J301">
        <v>3</v>
      </c>
      <c r="K301" t="s">
        <v>18</v>
      </c>
      <c r="L301" t="s">
        <v>17</v>
      </c>
      <c r="M301">
        <f>YEAR(Scaleflow[[#This Row],[Signup_Date]])</f>
        <v>2024</v>
      </c>
      <c r="N301" t="str">
        <f>TEXT(Scaleflow[[#This Row],[Signup_Date]],"MMM")</f>
        <v>Dec</v>
      </c>
      <c r="O301" t="str">
        <f>IF(Scaleflow[[#This Row],[Monthly_Revenue]]=0,"Free","Paid")</f>
        <v>Paid</v>
      </c>
      <c r="P301">
        <f>YEAR(Scaleflow[[#This Row],[TransactionDate]])</f>
        <v>2025</v>
      </c>
      <c r="Q301">
        <f>MONTH(Scaleflow[[#This Row],[TransactionDate]])</f>
        <v>12</v>
      </c>
      <c r="R301" t="str">
        <f>TEXT(Scaleflow[[#This Row],[TransactionDate]],"MMM")</f>
        <v>Dec</v>
      </c>
    </row>
    <row r="302" spans="1:18" x14ac:dyDescent="0.3">
      <c r="A302" t="s">
        <v>336</v>
      </c>
      <c r="B302" s="1">
        <v>45487</v>
      </c>
      <c r="C302" s="1">
        <v>45765</v>
      </c>
      <c r="D302" t="s">
        <v>20</v>
      </c>
      <c r="E302" t="s">
        <v>25</v>
      </c>
      <c r="F302" t="s">
        <v>12</v>
      </c>
      <c r="G302" s="2">
        <v>184653</v>
      </c>
      <c r="H302" t="s">
        <v>22</v>
      </c>
      <c r="I302" t="s">
        <v>42</v>
      </c>
      <c r="J302">
        <v>5</v>
      </c>
      <c r="K302" t="s">
        <v>18</v>
      </c>
      <c r="L302" t="s">
        <v>17</v>
      </c>
      <c r="M302">
        <f>YEAR(Scaleflow[[#This Row],[Signup_Date]])</f>
        <v>2024</v>
      </c>
      <c r="N302" t="str">
        <f>TEXT(Scaleflow[[#This Row],[Signup_Date]],"MMM")</f>
        <v>Jul</v>
      </c>
      <c r="O302" t="str">
        <f>IF(Scaleflow[[#This Row],[Monthly_Revenue]]=0,"Free","Paid")</f>
        <v>Paid</v>
      </c>
      <c r="P302">
        <f>YEAR(Scaleflow[[#This Row],[TransactionDate]])</f>
        <v>2025</v>
      </c>
      <c r="Q302">
        <f>MONTH(Scaleflow[[#This Row],[TransactionDate]])</f>
        <v>4</v>
      </c>
      <c r="R302" t="str">
        <f>TEXT(Scaleflow[[#This Row],[TransactionDate]],"MMM")</f>
        <v>Apr</v>
      </c>
    </row>
    <row r="303" spans="1:18" x14ac:dyDescent="0.3">
      <c r="A303" t="s">
        <v>337</v>
      </c>
      <c r="B303" s="1">
        <v>45527</v>
      </c>
      <c r="C303" s="1">
        <v>45664</v>
      </c>
      <c r="D303" t="s">
        <v>24</v>
      </c>
      <c r="E303" t="s">
        <v>21</v>
      </c>
      <c r="F303" t="s">
        <v>14</v>
      </c>
      <c r="G303" s="2">
        <v>0</v>
      </c>
      <c r="H303" t="s">
        <v>34</v>
      </c>
      <c r="I303" t="s">
        <v>36</v>
      </c>
      <c r="J303">
        <v>3</v>
      </c>
      <c r="K303" t="s">
        <v>18</v>
      </c>
      <c r="L303" t="s">
        <v>17</v>
      </c>
      <c r="M303">
        <f>YEAR(Scaleflow[[#This Row],[Signup_Date]])</f>
        <v>2024</v>
      </c>
      <c r="N303" t="str">
        <f>TEXT(Scaleflow[[#This Row],[Signup_Date]],"MMM")</f>
        <v>Aug</v>
      </c>
      <c r="O303" t="str">
        <f>IF(Scaleflow[[#This Row],[Monthly_Revenue]]=0,"Free","Paid")</f>
        <v>Free</v>
      </c>
      <c r="P303">
        <f>YEAR(Scaleflow[[#This Row],[TransactionDate]])</f>
        <v>2025</v>
      </c>
      <c r="Q303">
        <f>MONTH(Scaleflow[[#This Row],[TransactionDate]])</f>
        <v>1</v>
      </c>
      <c r="R303" t="str">
        <f>TEXT(Scaleflow[[#This Row],[TransactionDate]],"MMM")</f>
        <v>Jan</v>
      </c>
    </row>
    <row r="304" spans="1:18" x14ac:dyDescent="0.3">
      <c r="A304" t="s">
        <v>338</v>
      </c>
      <c r="B304" s="1">
        <v>45015</v>
      </c>
      <c r="C304" s="1">
        <v>45206</v>
      </c>
      <c r="D304" t="s">
        <v>20</v>
      </c>
      <c r="E304" t="s">
        <v>33</v>
      </c>
      <c r="F304" t="s">
        <v>29</v>
      </c>
      <c r="G304" s="2">
        <v>8560</v>
      </c>
      <c r="H304" t="s">
        <v>30</v>
      </c>
      <c r="I304" t="s">
        <v>31</v>
      </c>
      <c r="J304">
        <v>5</v>
      </c>
      <c r="K304" t="s">
        <v>18</v>
      </c>
      <c r="L304" t="s">
        <v>17</v>
      </c>
      <c r="M304">
        <f>YEAR(Scaleflow[[#This Row],[Signup_Date]])</f>
        <v>2023</v>
      </c>
      <c r="N304" t="str">
        <f>TEXT(Scaleflow[[#This Row],[Signup_Date]],"MMM")</f>
        <v>Mar</v>
      </c>
      <c r="O304" t="str">
        <f>IF(Scaleflow[[#This Row],[Monthly_Revenue]]=0,"Free","Paid")</f>
        <v>Paid</v>
      </c>
      <c r="P304">
        <f>YEAR(Scaleflow[[#This Row],[TransactionDate]])</f>
        <v>2023</v>
      </c>
      <c r="Q304">
        <f>MONTH(Scaleflow[[#This Row],[TransactionDate]])</f>
        <v>10</v>
      </c>
      <c r="R304" t="str">
        <f>TEXT(Scaleflow[[#This Row],[TransactionDate]],"MMM")</f>
        <v>Oct</v>
      </c>
    </row>
    <row r="305" spans="1:18" x14ac:dyDescent="0.3">
      <c r="A305" t="s">
        <v>339</v>
      </c>
      <c r="B305" s="1">
        <v>44957</v>
      </c>
      <c r="C305" s="1">
        <v>45312</v>
      </c>
      <c r="D305" t="s">
        <v>20</v>
      </c>
      <c r="E305" t="s">
        <v>33</v>
      </c>
      <c r="F305" t="s">
        <v>46</v>
      </c>
      <c r="G305" s="2">
        <v>26040</v>
      </c>
      <c r="H305" t="s">
        <v>22</v>
      </c>
      <c r="I305" t="s">
        <v>16</v>
      </c>
      <c r="J305">
        <v>1</v>
      </c>
      <c r="K305" t="s">
        <v>18</v>
      </c>
      <c r="L305" t="s">
        <v>17</v>
      </c>
      <c r="M305">
        <f>YEAR(Scaleflow[[#This Row],[Signup_Date]])</f>
        <v>2023</v>
      </c>
      <c r="N305" t="str">
        <f>TEXT(Scaleflow[[#This Row],[Signup_Date]],"MMM")</f>
        <v>Jan</v>
      </c>
      <c r="O305" t="str">
        <f>IF(Scaleflow[[#This Row],[Monthly_Revenue]]=0,"Free","Paid")</f>
        <v>Paid</v>
      </c>
      <c r="P305">
        <f>YEAR(Scaleflow[[#This Row],[TransactionDate]])</f>
        <v>2024</v>
      </c>
      <c r="Q305">
        <f>MONTH(Scaleflow[[#This Row],[TransactionDate]])</f>
        <v>1</v>
      </c>
      <c r="R305" t="str">
        <f>TEXT(Scaleflow[[#This Row],[TransactionDate]],"MMM")</f>
        <v>Jan</v>
      </c>
    </row>
    <row r="306" spans="1:18" x14ac:dyDescent="0.3">
      <c r="A306" t="s">
        <v>340</v>
      </c>
      <c r="B306" s="1">
        <v>45364</v>
      </c>
      <c r="C306" s="1">
        <v>45374</v>
      </c>
      <c r="D306" t="s">
        <v>20</v>
      </c>
      <c r="E306" t="s">
        <v>33</v>
      </c>
      <c r="F306" t="s">
        <v>14</v>
      </c>
      <c r="G306" s="2">
        <v>0</v>
      </c>
      <c r="H306" t="s">
        <v>26</v>
      </c>
      <c r="I306" t="s">
        <v>31</v>
      </c>
      <c r="J306">
        <v>4</v>
      </c>
      <c r="K306" t="s">
        <v>18</v>
      </c>
      <c r="L306" t="s">
        <v>17</v>
      </c>
      <c r="M306">
        <f>YEAR(Scaleflow[[#This Row],[Signup_Date]])</f>
        <v>2024</v>
      </c>
      <c r="N306" t="str">
        <f>TEXT(Scaleflow[[#This Row],[Signup_Date]],"MMM")</f>
        <v>Mar</v>
      </c>
      <c r="O306" t="str">
        <f>IF(Scaleflow[[#This Row],[Monthly_Revenue]]=0,"Free","Paid")</f>
        <v>Free</v>
      </c>
      <c r="P306">
        <f>YEAR(Scaleflow[[#This Row],[TransactionDate]])</f>
        <v>2024</v>
      </c>
      <c r="Q306">
        <f>MONTH(Scaleflow[[#This Row],[TransactionDate]])</f>
        <v>3</v>
      </c>
      <c r="R306" t="str">
        <f>TEXT(Scaleflow[[#This Row],[TransactionDate]],"MMM")</f>
        <v>Mar</v>
      </c>
    </row>
    <row r="307" spans="1:18" x14ac:dyDescent="0.3">
      <c r="A307" t="s">
        <v>341</v>
      </c>
      <c r="B307" s="1">
        <v>45745</v>
      </c>
      <c r="C307" s="1">
        <v>45869</v>
      </c>
      <c r="D307" t="s">
        <v>24</v>
      </c>
      <c r="E307" t="s">
        <v>41</v>
      </c>
      <c r="F307" t="s">
        <v>29</v>
      </c>
      <c r="G307" s="2">
        <v>15433</v>
      </c>
      <c r="H307" t="s">
        <v>34</v>
      </c>
      <c r="I307" t="s">
        <v>16</v>
      </c>
      <c r="J307">
        <v>5</v>
      </c>
      <c r="K307" t="s">
        <v>17</v>
      </c>
      <c r="L307" t="s">
        <v>18</v>
      </c>
      <c r="M307">
        <f>YEAR(Scaleflow[[#This Row],[Signup_Date]])</f>
        <v>2025</v>
      </c>
      <c r="N307" t="str">
        <f>TEXT(Scaleflow[[#This Row],[Signup_Date]],"MMM")</f>
        <v>Mar</v>
      </c>
      <c r="O307" t="str">
        <f>IF(Scaleflow[[#This Row],[Monthly_Revenue]]=0,"Free","Paid")</f>
        <v>Paid</v>
      </c>
      <c r="P307">
        <f>YEAR(Scaleflow[[#This Row],[TransactionDate]])</f>
        <v>2025</v>
      </c>
      <c r="Q307">
        <f>MONTH(Scaleflow[[#This Row],[TransactionDate]])</f>
        <v>7</v>
      </c>
      <c r="R307" t="str">
        <f>TEXT(Scaleflow[[#This Row],[TransactionDate]],"MMM")</f>
        <v>Jul</v>
      </c>
    </row>
    <row r="308" spans="1:18" x14ac:dyDescent="0.3">
      <c r="A308" t="s">
        <v>342</v>
      </c>
      <c r="B308" s="1">
        <v>45347</v>
      </c>
      <c r="C308" s="1">
        <v>45494</v>
      </c>
      <c r="D308" t="s">
        <v>24</v>
      </c>
      <c r="E308" t="s">
        <v>25</v>
      </c>
      <c r="F308" t="s">
        <v>12</v>
      </c>
      <c r="G308" s="2">
        <v>120899</v>
      </c>
      <c r="H308" t="s">
        <v>49</v>
      </c>
      <c r="I308" t="s">
        <v>31</v>
      </c>
      <c r="J308">
        <v>1</v>
      </c>
      <c r="K308" t="s">
        <v>18</v>
      </c>
      <c r="L308" t="s">
        <v>17</v>
      </c>
      <c r="M308">
        <f>YEAR(Scaleflow[[#This Row],[Signup_Date]])</f>
        <v>2024</v>
      </c>
      <c r="N308" t="str">
        <f>TEXT(Scaleflow[[#This Row],[Signup_Date]],"MMM")</f>
        <v>Feb</v>
      </c>
      <c r="O308" t="str">
        <f>IF(Scaleflow[[#This Row],[Monthly_Revenue]]=0,"Free","Paid")</f>
        <v>Paid</v>
      </c>
      <c r="P308">
        <f>YEAR(Scaleflow[[#This Row],[TransactionDate]])</f>
        <v>2024</v>
      </c>
      <c r="Q308">
        <f>MONTH(Scaleflow[[#This Row],[TransactionDate]])</f>
        <v>7</v>
      </c>
      <c r="R308" t="str">
        <f>TEXT(Scaleflow[[#This Row],[TransactionDate]],"MMM")</f>
        <v>Jul</v>
      </c>
    </row>
    <row r="309" spans="1:18" x14ac:dyDescent="0.3">
      <c r="A309" t="s">
        <v>343</v>
      </c>
      <c r="B309" s="1">
        <v>45737</v>
      </c>
      <c r="C309" s="1">
        <v>45920</v>
      </c>
      <c r="D309" t="s">
        <v>12</v>
      </c>
      <c r="E309" t="s">
        <v>33</v>
      </c>
      <c r="F309" t="s">
        <v>29</v>
      </c>
      <c r="G309" s="2">
        <v>12784</v>
      </c>
      <c r="H309" t="s">
        <v>34</v>
      </c>
      <c r="I309" t="s">
        <v>42</v>
      </c>
      <c r="J309">
        <v>3</v>
      </c>
      <c r="K309" t="s">
        <v>18</v>
      </c>
      <c r="L309" t="s">
        <v>17</v>
      </c>
      <c r="M309">
        <f>YEAR(Scaleflow[[#This Row],[Signup_Date]])</f>
        <v>2025</v>
      </c>
      <c r="N309" t="str">
        <f>TEXT(Scaleflow[[#This Row],[Signup_Date]],"MMM")</f>
        <v>Mar</v>
      </c>
      <c r="O309" t="str">
        <f>IF(Scaleflow[[#This Row],[Monthly_Revenue]]=0,"Free","Paid")</f>
        <v>Paid</v>
      </c>
      <c r="P309">
        <f>YEAR(Scaleflow[[#This Row],[TransactionDate]])</f>
        <v>2025</v>
      </c>
      <c r="Q309">
        <f>MONTH(Scaleflow[[#This Row],[TransactionDate]])</f>
        <v>9</v>
      </c>
      <c r="R309" t="str">
        <f>TEXT(Scaleflow[[#This Row],[TransactionDate]],"MMM")</f>
        <v>Sep</v>
      </c>
    </row>
    <row r="310" spans="1:18" x14ac:dyDescent="0.3">
      <c r="A310" t="s">
        <v>344</v>
      </c>
      <c r="B310" s="1">
        <v>45404</v>
      </c>
      <c r="C310" s="1">
        <v>45864</v>
      </c>
      <c r="D310" t="s">
        <v>20</v>
      </c>
      <c r="E310" t="s">
        <v>39</v>
      </c>
      <c r="F310" t="s">
        <v>12</v>
      </c>
      <c r="G310" s="2">
        <v>248709</v>
      </c>
      <c r="H310" t="s">
        <v>34</v>
      </c>
      <c r="I310" t="s">
        <v>16</v>
      </c>
      <c r="J310">
        <v>0</v>
      </c>
      <c r="K310" t="s">
        <v>17</v>
      </c>
      <c r="L310" t="s">
        <v>18</v>
      </c>
      <c r="M310">
        <f>YEAR(Scaleflow[[#This Row],[Signup_Date]])</f>
        <v>2024</v>
      </c>
      <c r="N310" t="str">
        <f>TEXT(Scaleflow[[#This Row],[Signup_Date]],"MMM")</f>
        <v>Apr</v>
      </c>
      <c r="O310" t="str">
        <f>IF(Scaleflow[[#This Row],[Monthly_Revenue]]=0,"Free","Paid")</f>
        <v>Paid</v>
      </c>
      <c r="P310">
        <f>YEAR(Scaleflow[[#This Row],[TransactionDate]])</f>
        <v>2025</v>
      </c>
      <c r="Q310">
        <f>MONTH(Scaleflow[[#This Row],[TransactionDate]])</f>
        <v>7</v>
      </c>
      <c r="R310" t="str">
        <f>TEXT(Scaleflow[[#This Row],[TransactionDate]],"MMM")</f>
        <v>Jul</v>
      </c>
    </row>
    <row r="311" spans="1:18" x14ac:dyDescent="0.3">
      <c r="A311" t="s">
        <v>345</v>
      </c>
      <c r="B311" s="1">
        <v>45362</v>
      </c>
      <c r="C311" s="1">
        <v>45735</v>
      </c>
      <c r="D311" t="s">
        <v>12</v>
      </c>
      <c r="E311" t="s">
        <v>41</v>
      </c>
      <c r="F311" t="s">
        <v>14</v>
      </c>
      <c r="G311" s="2">
        <v>0</v>
      </c>
      <c r="H311" t="s">
        <v>26</v>
      </c>
      <c r="I311" t="s">
        <v>42</v>
      </c>
      <c r="J311">
        <v>5</v>
      </c>
      <c r="K311" t="s">
        <v>17</v>
      </c>
      <c r="L311" t="s">
        <v>18</v>
      </c>
      <c r="M311">
        <f>YEAR(Scaleflow[[#This Row],[Signup_Date]])</f>
        <v>2024</v>
      </c>
      <c r="N311" t="str">
        <f>TEXT(Scaleflow[[#This Row],[Signup_Date]],"MMM")</f>
        <v>Mar</v>
      </c>
      <c r="O311" t="str">
        <f>IF(Scaleflow[[#This Row],[Monthly_Revenue]]=0,"Free","Paid")</f>
        <v>Free</v>
      </c>
      <c r="P311">
        <f>YEAR(Scaleflow[[#This Row],[TransactionDate]])</f>
        <v>2025</v>
      </c>
      <c r="Q311">
        <f>MONTH(Scaleflow[[#This Row],[TransactionDate]])</f>
        <v>3</v>
      </c>
      <c r="R311" t="str">
        <f>TEXT(Scaleflow[[#This Row],[TransactionDate]],"MMM")</f>
        <v>Mar</v>
      </c>
    </row>
    <row r="312" spans="1:18" x14ac:dyDescent="0.3">
      <c r="A312" t="s">
        <v>346</v>
      </c>
      <c r="B312" s="1">
        <v>45746</v>
      </c>
      <c r="C312" s="1">
        <v>45895</v>
      </c>
      <c r="D312" t="s">
        <v>20</v>
      </c>
      <c r="E312" t="s">
        <v>13</v>
      </c>
      <c r="F312" t="s">
        <v>14</v>
      </c>
      <c r="G312" s="2">
        <v>0</v>
      </c>
      <c r="H312" t="s">
        <v>15</v>
      </c>
      <c r="I312" t="s">
        <v>42</v>
      </c>
      <c r="J312">
        <v>4</v>
      </c>
      <c r="K312" t="s">
        <v>18</v>
      </c>
      <c r="L312" t="s">
        <v>17</v>
      </c>
      <c r="M312">
        <f>YEAR(Scaleflow[[#This Row],[Signup_Date]])</f>
        <v>2025</v>
      </c>
      <c r="N312" t="str">
        <f>TEXT(Scaleflow[[#This Row],[Signup_Date]],"MMM")</f>
        <v>Mar</v>
      </c>
      <c r="O312" t="str">
        <f>IF(Scaleflow[[#This Row],[Monthly_Revenue]]=0,"Free","Paid")</f>
        <v>Free</v>
      </c>
      <c r="P312">
        <f>YEAR(Scaleflow[[#This Row],[TransactionDate]])</f>
        <v>2025</v>
      </c>
      <c r="Q312">
        <f>MONTH(Scaleflow[[#This Row],[TransactionDate]])</f>
        <v>8</v>
      </c>
      <c r="R312" t="str">
        <f>TEXT(Scaleflow[[#This Row],[TransactionDate]],"MMM")</f>
        <v>Aug</v>
      </c>
    </row>
    <row r="313" spans="1:18" x14ac:dyDescent="0.3">
      <c r="A313" t="s">
        <v>347</v>
      </c>
      <c r="B313" s="1">
        <v>45792</v>
      </c>
      <c r="C313" s="1">
        <v>45871</v>
      </c>
      <c r="D313" t="s">
        <v>24</v>
      </c>
      <c r="E313" t="s">
        <v>13</v>
      </c>
      <c r="F313" t="s">
        <v>29</v>
      </c>
      <c r="G313" s="2">
        <v>16971</v>
      </c>
      <c r="H313" t="s">
        <v>49</v>
      </c>
      <c r="I313" t="s">
        <v>36</v>
      </c>
      <c r="J313">
        <v>1</v>
      </c>
      <c r="K313" t="s">
        <v>17</v>
      </c>
      <c r="L313" t="s">
        <v>18</v>
      </c>
      <c r="M313">
        <f>YEAR(Scaleflow[[#This Row],[Signup_Date]])</f>
        <v>2025</v>
      </c>
      <c r="N313" t="str">
        <f>TEXT(Scaleflow[[#This Row],[Signup_Date]],"MMM")</f>
        <v>May</v>
      </c>
      <c r="O313" t="str">
        <f>IF(Scaleflow[[#This Row],[Monthly_Revenue]]=0,"Free","Paid")</f>
        <v>Paid</v>
      </c>
      <c r="P313">
        <f>YEAR(Scaleflow[[#This Row],[TransactionDate]])</f>
        <v>2025</v>
      </c>
      <c r="Q313">
        <f>MONTH(Scaleflow[[#This Row],[TransactionDate]])</f>
        <v>8</v>
      </c>
      <c r="R313" t="str">
        <f>TEXT(Scaleflow[[#This Row],[TransactionDate]],"MMM")</f>
        <v>Aug</v>
      </c>
    </row>
    <row r="314" spans="1:18" x14ac:dyDescent="0.3">
      <c r="A314" t="s">
        <v>348</v>
      </c>
      <c r="B314" s="1">
        <v>45096</v>
      </c>
      <c r="C314" s="1">
        <v>45230</v>
      </c>
      <c r="D314" t="s">
        <v>20</v>
      </c>
      <c r="E314" t="s">
        <v>25</v>
      </c>
      <c r="F314" t="s">
        <v>12</v>
      </c>
      <c r="G314" s="2">
        <v>209810</v>
      </c>
      <c r="H314" t="s">
        <v>26</v>
      </c>
      <c r="I314" t="s">
        <v>16</v>
      </c>
      <c r="J314">
        <v>1</v>
      </c>
      <c r="K314" t="s">
        <v>18</v>
      </c>
      <c r="L314" t="s">
        <v>17</v>
      </c>
      <c r="M314">
        <f>YEAR(Scaleflow[[#This Row],[Signup_Date]])</f>
        <v>2023</v>
      </c>
      <c r="N314" t="str">
        <f>TEXT(Scaleflow[[#This Row],[Signup_Date]],"MMM")</f>
        <v>Jun</v>
      </c>
      <c r="O314" t="str">
        <f>IF(Scaleflow[[#This Row],[Monthly_Revenue]]=0,"Free","Paid")</f>
        <v>Paid</v>
      </c>
      <c r="P314">
        <f>YEAR(Scaleflow[[#This Row],[TransactionDate]])</f>
        <v>2023</v>
      </c>
      <c r="Q314">
        <f>MONTH(Scaleflow[[#This Row],[TransactionDate]])</f>
        <v>10</v>
      </c>
      <c r="R314" t="str">
        <f>TEXT(Scaleflow[[#This Row],[TransactionDate]],"MMM")</f>
        <v>Oct</v>
      </c>
    </row>
    <row r="315" spans="1:18" x14ac:dyDescent="0.3">
      <c r="A315" t="s">
        <v>349</v>
      </c>
      <c r="B315" s="1">
        <v>45596</v>
      </c>
      <c r="C315" s="1">
        <v>45644</v>
      </c>
      <c r="D315" t="s">
        <v>24</v>
      </c>
      <c r="E315" t="s">
        <v>25</v>
      </c>
      <c r="F315" t="s">
        <v>14</v>
      </c>
      <c r="G315" s="2">
        <v>0</v>
      </c>
      <c r="H315" t="s">
        <v>49</v>
      </c>
      <c r="I315" t="s">
        <v>16</v>
      </c>
      <c r="J315">
        <v>3</v>
      </c>
      <c r="K315" t="s">
        <v>18</v>
      </c>
      <c r="L315" t="s">
        <v>17</v>
      </c>
      <c r="M315">
        <f>YEAR(Scaleflow[[#This Row],[Signup_Date]])</f>
        <v>2024</v>
      </c>
      <c r="N315" t="str">
        <f>TEXT(Scaleflow[[#This Row],[Signup_Date]],"MMM")</f>
        <v>Oct</v>
      </c>
      <c r="O315" t="str">
        <f>IF(Scaleflow[[#This Row],[Monthly_Revenue]]=0,"Free","Paid")</f>
        <v>Free</v>
      </c>
      <c r="P315">
        <f>YEAR(Scaleflow[[#This Row],[TransactionDate]])</f>
        <v>2024</v>
      </c>
      <c r="Q315">
        <f>MONTH(Scaleflow[[#This Row],[TransactionDate]])</f>
        <v>12</v>
      </c>
      <c r="R315" t="str">
        <f>TEXT(Scaleflow[[#This Row],[TransactionDate]],"MMM")</f>
        <v>Dec</v>
      </c>
    </row>
    <row r="316" spans="1:18" x14ac:dyDescent="0.3">
      <c r="A316" t="s">
        <v>350</v>
      </c>
      <c r="B316" s="1">
        <v>45235</v>
      </c>
      <c r="C316" s="1">
        <v>45845</v>
      </c>
      <c r="D316" t="s">
        <v>20</v>
      </c>
      <c r="E316" t="s">
        <v>39</v>
      </c>
      <c r="F316" t="s">
        <v>29</v>
      </c>
      <c r="G316" s="2">
        <v>8223</v>
      </c>
      <c r="H316" t="s">
        <v>22</v>
      </c>
      <c r="I316" t="s">
        <v>16</v>
      </c>
      <c r="J316">
        <v>3</v>
      </c>
      <c r="K316" t="s">
        <v>18</v>
      </c>
      <c r="L316" t="s">
        <v>17</v>
      </c>
      <c r="M316">
        <f>YEAR(Scaleflow[[#This Row],[Signup_Date]])</f>
        <v>2023</v>
      </c>
      <c r="N316" t="str">
        <f>TEXT(Scaleflow[[#This Row],[Signup_Date]],"MMM")</f>
        <v>Nov</v>
      </c>
      <c r="O316" t="str">
        <f>IF(Scaleflow[[#This Row],[Monthly_Revenue]]=0,"Free","Paid")</f>
        <v>Paid</v>
      </c>
      <c r="P316">
        <f>YEAR(Scaleflow[[#This Row],[TransactionDate]])</f>
        <v>2025</v>
      </c>
      <c r="Q316">
        <f>MONTH(Scaleflow[[#This Row],[TransactionDate]])</f>
        <v>7</v>
      </c>
      <c r="R316" t="str">
        <f>TEXT(Scaleflow[[#This Row],[TransactionDate]],"MMM")</f>
        <v>Jul</v>
      </c>
    </row>
    <row r="317" spans="1:18" x14ac:dyDescent="0.3">
      <c r="A317" t="s">
        <v>351</v>
      </c>
      <c r="B317" s="1">
        <v>45638</v>
      </c>
      <c r="C317" s="1">
        <v>45924</v>
      </c>
      <c r="D317" t="s">
        <v>24</v>
      </c>
      <c r="E317" t="s">
        <v>41</v>
      </c>
      <c r="F317" t="s">
        <v>12</v>
      </c>
      <c r="G317" s="2">
        <v>150950</v>
      </c>
      <c r="H317" t="s">
        <v>49</v>
      </c>
      <c r="I317" t="s">
        <v>36</v>
      </c>
      <c r="J317">
        <v>4</v>
      </c>
      <c r="K317" t="s">
        <v>18</v>
      </c>
      <c r="L317" t="s">
        <v>17</v>
      </c>
      <c r="M317">
        <f>YEAR(Scaleflow[[#This Row],[Signup_Date]])</f>
        <v>2024</v>
      </c>
      <c r="N317" t="str">
        <f>TEXT(Scaleflow[[#This Row],[Signup_Date]],"MMM")</f>
        <v>Dec</v>
      </c>
      <c r="O317" t="str">
        <f>IF(Scaleflow[[#This Row],[Monthly_Revenue]]=0,"Free","Paid")</f>
        <v>Paid</v>
      </c>
      <c r="P317">
        <f>YEAR(Scaleflow[[#This Row],[TransactionDate]])</f>
        <v>2025</v>
      </c>
      <c r="Q317">
        <f>MONTH(Scaleflow[[#This Row],[TransactionDate]])</f>
        <v>9</v>
      </c>
      <c r="R317" t="str">
        <f>TEXT(Scaleflow[[#This Row],[TransactionDate]],"MMM")</f>
        <v>Sep</v>
      </c>
    </row>
    <row r="318" spans="1:18" x14ac:dyDescent="0.3">
      <c r="A318" t="s">
        <v>352</v>
      </c>
      <c r="B318" s="1">
        <v>44934</v>
      </c>
      <c r="C318" s="1">
        <v>45521</v>
      </c>
      <c r="D318" t="s">
        <v>12</v>
      </c>
      <c r="E318" t="s">
        <v>21</v>
      </c>
      <c r="F318" t="s">
        <v>14</v>
      </c>
      <c r="G318" s="2">
        <v>0</v>
      </c>
      <c r="H318" t="s">
        <v>26</v>
      </c>
      <c r="I318" t="s">
        <v>27</v>
      </c>
      <c r="J318">
        <v>2</v>
      </c>
      <c r="K318" t="s">
        <v>17</v>
      </c>
      <c r="L318" t="s">
        <v>18</v>
      </c>
      <c r="M318">
        <f>YEAR(Scaleflow[[#This Row],[Signup_Date]])</f>
        <v>2023</v>
      </c>
      <c r="N318" t="str">
        <f>TEXT(Scaleflow[[#This Row],[Signup_Date]],"MMM")</f>
        <v>Jan</v>
      </c>
      <c r="O318" t="str">
        <f>IF(Scaleflow[[#This Row],[Monthly_Revenue]]=0,"Free","Paid")</f>
        <v>Free</v>
      </c>
      <c r="P318">
        <f>YEAR(Scaleflow[[#This Row],[TransactionDate]])</f>
        <v>2024</v>
      </c>
      <c r="Q318">
        <f>MONTH(Scaleflow[[#This Row],[TransactionDate]])</f>
        <v>8</v>
      </c>
      <c r="R318" t="str">
        <f>TEXT(Scaleflow[[#This Row],[TransactionDate]],"MMM")</f>
        <v>Aug</v>
      </c>
    </row>
    <row r="319" spans="1:18" x14ac:dyDescent="0.3">
      <c r="A319" t="s">
        <v>353</v>
      </c>
      <c r="B319" s="1">
        <v>45005</v>
      </c>
      <c r="C319" s="1">
        <v>45710</v>
      </c>
      <c r="D319" t="s">
        <v>20</v>
      </c>
      <c r="E319" t="s">
        <v>41</v>
      </c>
      <c r="F319" t="s">
        <v>46</v>
      </c>
      <c r="G319" s="2">
        <v>53935</v>
      </c>
      <c r="H319" t="s">
        <v>34</v>
      </c>
      <c r="I319" t="s">
        <v>27</v>
      </c>
      <c r="J319">
        <v>0</v>
      </c>
      <c r="K319" t="s">
        <v>18</v>
      </c>
      <c r="L319" t="s">
        <v>17</v>
      </c>
      <c r="M319">
        <f>YEAR(Scaleflow[[#This Row],[Signup_Date]])</f>
        <v>2023</v>
      </c>
      <c r="N319" t="str">
        <f>TEXT(Scaleflow[[#This Row],[Signup_Date]],"MMM")</f>
        <v>Mar</v>
      </c>
      <c r="O319" t="str">
        <f>IF(Scaleflow[[#This Row],[Monthly_Revenue]]=0,"Free","Paid")</f>
        <v>Paid</v>
      </c>
      <c r="P319">
        <f>YEAR(Scaleflow[[#This Row],[TransactionDate]])</f>
        <v>2025</v>
      </c>
      <c r="Q319">
        <f>MONTH(Scaleflow[[#This Row],[TransactionDate]])</f>
        <v>2</v>
      </c>
      <c r="R319" t="str">
        <f>TEXT(Scaleflow[[#This Row],[TransactionDate]],"MMM")</f>
        <v>Feb</v>
      </c>
    </row>
    <row r="320" spans="1:18" x14ac:dyDescent="0.3">
      <c r="A320" t="s">
        <v>354</v>
      </c>
      <c r="B320" s="1">
        <v>45372</v>
      </c>
      <c r="C320" s="1">
        <v>45415</v>
      </c>
      <c r="D320" t="s">
        <v>12</v>
      </c>
      <c r="E320" t="s">
        <v>33</v>
      </c>
      <c r="F320" t="s">
        <v>29</v>
      </c>
      <c r="G320" s="2">
        <v>12595</v>
      </c>
      <c r="H320" t="s">
        <v>22</v>
      </c>
      <c r="I320" t="s">
        <v>42</v>
      </c>
      <c r="J320">
        <v>1</v>
      </c>
      <c r="K320" t="s">
        <v>18</v>
      </c>
      <c r="L320" t="s">
        <v>17</v>
      </c>
      <c r="M320">
        <f>YEAR(Scaleflow[[#This Row],[Signup_Date]])</f>
        <v>2024</v>
      </c>
      <c r="N320" t="str">
        <f>TEXT(Scaleflow[[#This Row],[Signup_Date]],"MMM")</f>
        <v>Mar</v>
      </c>
      <c r="O320" t="str">
        <f>IF(Scaleflow[[#This Row],[Monthly_Revenue]]=0,"Free","Paid")</f>
        <v>Paid</v>
      </c>
      <c r="P320">
        <f>YEAR(Scaleflow[[#This Row],[TransactionDate]])</f>
        <v>2024</v>
      </c>
      <c r="Q320">
        <f>MONTH(Scaleflow[[#This Row],[TransactionDate]])</f>
        <v>5</v>
      </c>
      <c r="R320" t="str">
        <f>TEXT(Scaleflow[[#This Row],[TransactionDate]],"MMM")</f>
        <v>May</v>
      </c>
    </row>
    <row r="321" spans="1:18" x14ac:dyDescent="0.3">
      <c r="A321" t="s">
        <v>355</v>
      </c>
      <c r="B321" s="1">
        <v>45738</v>
      </c>
      <c r="C321" s="1">
        <v>45932</v>
      </c>
      <c r="D321" t="s">
        <v>12</v>
      </c>
      <c r="E321" t="s">
        <v>39</v>
      </c>
      <c r="F321" t="s">
        <v>46</v>
      </c>
      <c r="G321" s="2">
        <v>54364</v>
      </c>
      <c r="H321" t="s">
        <v>26</v>
      </c>
      <c r="I321" t="s">
        <v>36</v>
      </c>
      <c r="J321">
        <v>0</v>
      </c>
      <c r="K321" t="s">
        <v>17</v>
      </c>
      <c r="L321" t="s">
        <v>18</v>
      </c>
      <c r="M321">
        <f>YEAR(Scaleflow[[#This Row],[Signup_Date]])</f>
        <v>2025</v>
      </c>
      <c r="N321" t="str">
        <f>TEXT(Scaleflow[[#This Row],[Signup_Date]],"MMM")</f>
        <v>Mar</v>
      </c>
      <c r="O321" t="str">
        <f>IF(Scaleflow[[#This Row],[Monthly_Revenue]]=0,"Free","Paid")</f>
        <v>Paid</v>
      </c>
      <c r="P321">
        <f>YEAR(Scaleflow[[#This Row],[TransactionDate]])</f>
        <v>2025</v>
      </c>
      <c r="Q321">
        <f>MONTH(Scaleflow[[#This Row],[TransactionDate]])</f>
        <v>10</v>
      </c>
      <c r="R321" t="str">
        <f>TEXT(Scaleflow[[#This Row],[TransactionDate]],"MMM")</f>
        <v>Oct</v>
      </c>
    </row>
    <row r="322" spans="1:18" x14ac:dyDescent="0.3">
      <c r="A322" t="s">
        <v>356</v>
      </c>
      <c r="B322" s="1">
        <v>45062</v>
      </c>
      <c r="C322" s="1">
        <v>45538</v>
      </c>
      <c r="D322" t="s">
        <v>24</v>
      </c>
      <c r="E322" t="s">
        <v>41</v>
      </c>
      <c r="F322" t="s">
        <v>29</v>
      </c>
      <c r="G322" s="2">
        <v>12095</v>
      </c>
      <c r="H322" t="s">
        <v>34</v>
      </c>
      <c r="I322" t="s">
        <v>27</v>
      </c>
      <c r="J322">
        <v>0</v>
      </c>
      <c r="K322" t="s">
        <v>18</v>
      </c>
      <c r="L322" t="s">
        <v>17</v>
      </c>
      <c r="M322">
        <f>YEAR(Scaleflow[[#This Row],[Signup_Date]])</f>
        <v>2023</v>
      </c>
      <c r="N322" t="str">
        <f>TEXT(Scaleflow[[#This Row],[Signup_Date]],"MMM")</f>
        <v>May</v>
      </c>
      <c r="O322" t="str">
        <f>IF(Scaleflow[[#This Row],[Monthly_Revenue]]=0,"Free","Paid")</f>
        <v>Paid</v>
      </c>
      <c r="P322">
        <f>YEAR(Scaleflow[[#This Row],[TransactionDate]])</f>
        <v>2024</v>
      </c>
      <c r="Q322">
        <f>MONTH(Scaleflow[[#This Row],[TransactionDate]])</f>
        <v>9</v>
      </c>
      <c r="R322" t="str">
        <f>TEXT(Scaleflow[[#This Row],[TransactionDate]],"MMM")</f>
        <v>Sep</v>
      </c>
    </row>
    <row r="323" spans="1:18" x14ac:dyDescent="0.3">
      <c r="A323" t="s">
        <v>357</v>
      </c>
      <c r="B323" s="1">
        <v>45213</v>
      </c>
      <c r="C323" s="1">
        <v>45678</v>
      </c>
      <c r="D323" t="s">
        <v>20</v>
      </c>
      <c r="E323" t="s">
        <v>13</v>
      </c>
      <c r="F323" t="s">
        <v>29</v>
      </c>
      <c r="G323" s="2">
        <v>15032</v>
      </c>
      <c r="H323" t="s">
        <v>49</v>
      </c>
      <c r="I323" t="s">
        <v>16</v>
      </c>
      <c r="J323">
        <v>3</v>
      </c>
      <c r="K323" t="s">
        <v>17</v>
      </c>
      <c r="L323" t="s">
        <v>18</v>
      </c>
      <c r="M323">
        <f>YEAR(Scaleflow[[#This Row],[Signup_Date]])</f>
        <v>2023</v>
      </c>
      <c r="N323" t="str">
        <f>TEXT(Scaleflow[[#This Row],[Signup_Date]],"MMM")</f>
        <v>Oct</v>
      </c>
      <c r="O323" t="str">
        <f>IF(Scaleflow[[#This Row],[Monthly_Revenue]]=0,"Free","Paid")</f>
        <v>Paid</v>
      </c>
      <c r="P323">
        <f>YEAR(Scaleflow[[#This Row],[TransactionDate]])</f>
        <v>2025</v>
      </c>
      <c r="Q323">
        <f>MONTH(Scaleflow[[#This Row],[TransactionDate]])</f>
        <v>1</v>
      </c>
      <c r="R323" t="str">
        <f>TEXT(Scaleflow[[#This Row],[TransactionDate]],"MMM")</f>
        <v>Jan</v>
      </c>
    </row>
    <row r="324" spans="1:18" x14ac:dyDescent="0.3">
      <c r="A324" t="s">
        <v>358</v>
      </c>
      <c r="B324" s="1">
        <v>45558</v>
      </c>
      <c r="C324" s="1">
        <v>45992</v>
      </c>
      <c r="D324" t="s">
        <v>24</v>
      </c>
      <c r="E324" t="s">
        <v>39</v>
      </c>
      <c r="F324" t="s">
        <v>14</v>
      </c>
      <c r="G324" s="2">
        <v>0</v>
      </c>
      <c r="H324" t="s">
        <v>30</v>
      </c>
      <c r="I324" t="s">
        <v>16</v>
      </c>
      <c r="J324">
        <v>4</v>
      </c>
      <c r="K324" t="s">
        <v>18</v>
      </c>
      <c r="L324" t="s">
        <v>17</v>
      </c>
      <c r="M324">
        <f>YEAR(Scaleflow[[#This Row],[Signup_Date]])</f>
        <v>2024</v>
      </c>
      <c r="N324" t="str">
        <f>TEXT(Scaleflow[[#This Row],[Signup_Date]],"MMM")</f>
        <v>Sep</v>
      </c>
      <c r="O324" t="str">
        <f>IF(Scaleflow[[#This Row],[Monthly_Revenue]]=0,"Free","Paid")</f>
        <v>Free</v>
      </c>
      <c r="P324">
        <f>YEAR(Scaleflow[[#This Row],[TransactionDate]])</f>
        <v>2025</v>
      </c>
      <c r="Q324">
        <f>MONTH(Scaleflow[[#This Row],[TransactionDate]])</f>
        <v>12</v>
      </c>
      <c r="R324" t="str">
        <f>TEXT(Scaleflow[[#This Row],[TransactionDate]],"MMM")</f>
        <v>Dec</v>
      </c>
    </row>
    <row r="325" spans="1:18" x14ac:dyDescent="0.3">
      <c r="A325" t="s">
        <v>359</v>
      </c>
      <c r="B325" s="1">
        <v>45724</v>
      </c>
      <c r="C325" s="1">
        <v>45929</v>
      </c>
      <c r="D325" t="s">
        <v>20</v>
      </c>
      <c r="E325" t="s">
        <v>39</v>
      </c>
      <c r="F325" t="s">
        <v>14</v>
      </c>
      <c r="G325" s="2">
        <v>0</v>
      </c>
      <c r="H325" t="s">
        <v>22</v>
      </c>
      <c r="I325" t="s">
        <v>36</v>
      </c>
      <c r="J325">
        <v>0</v>
      </c>
      <c r="K325" t="s">
        <v>18</v>
      </c>
      <c r="L325" t="s">
        <v>17</v>
      </c>
      <c r="M325">
        <f>YEAR(Scaleflow[[#This Row],[Signup_Date]])</f>
        <v>2025</v>
      </c>
      <c r="N325" t="str">
        <f>TEXT(Scaleflow[[#This Row],[Signup_Date]],"MMM")</f>
        <v>Mar</v>
      </c>
      <c r="O325" t="str">
        <f>IF(Scaleflow[[#This Row],[Monthly_Revenue]]=0,"Free","Paid")</f>
        <v>Free</v>
      </c>
      <c r="P325">
        <f>YEAR(Scaleflow[[#This Row],[TransactionDate]])</f>
        <v>2025</v>
      </c>
      <c r="Q325">
        <f>MONTH(Scaleflow[[#This Row],[TransactionDate]])</f>
        <v>9</v>
      </c>
      <c r="R325" t="str">
        <f>TEXT(Scaleflow[[#This Row],[TransactionDate]],"MMM")</f>
        <v>Sep</v>
      </c>
    </row>
    <row r="326" spans="1:18" x14ac:dyDescent="0.3">
      <c r="A326" t="s">
        <v>360</v>
      </c>
      <c r="B326" s="1">
        <v>45796</v>
      </c>
      <c r="C326" s="1">
        <v>45939</v>
      </c>
      <c r="D326" t="s">
        <v>20</v>
      </c>
      <c r="E326" t="s">
        <v>33</v>
      </c>
      <c r="F326" t="s">
        <v>12</v>
      </c>
      <c r="G326" s="2">
        <v>237940</v>
      </c>
      <c r="H326" t="s">
        <v>15</v>
      </c>
      <c r="I326" t="s">
        <v>36</v>
      </c>
      <c r="J326">
        <v>5</v>
      </c>
      <c r="K326" t="s">
        <v>18</v>
      </c>
      <c r="L326" t="s">
        <v>17</v>
      </c>
      <c r="M326">
        <f>YEAR(Scaleflow[[#This Row],[Signup_Date]])</f>
        <v>2025</v>
      </c>
      <c r="N326" t="str">
        <f>TEXT(Scaleflow[[#This Row],[Signup_Date]],"MMM")</f>
        <v>May</v>
      </c>
      <c r="O326" t="str">
        <f>IF(Scaleflow[[#This Row],[Monthly_Revenue]]=0,"Free","Paid")</f>
        <v>Paid</v>
      </c>
      <c r="P326">
        <f>YEAR(Scaleflow[[#This Row],[TransactionDate]])</f>
        <v>2025</v>
      </c>
      <c r="Q326">
        <f>MONTH(Scaleflow[[#This Row],[TransactionDate]])</f>
        <v>10</v>
      </c>
      <c r="R326" t="str">
        <f>TEXT(Scaleflow[[#This Row],[TransactionDate]],"MMM")</f>
        <v>Oct</v>
      </c>
    </row>
    <row r="327" spans="1:18" x14ac:dyDescent="0.3">
      <c r="A327" t="s">
        <v>361</v>
      </c>
      <c r="B327" s="1">
        <v>45393</v>
      </c>
      <c r="C327" s="1">
        <v>45780</v>
      </c>
      <c r="D327" t="s">
        <v>24</v>
      </c>
      <c r="E327" t="s">
        <v>21</v>
      </c>
      <c r="F327" t="s">
        <v>29</v>
      </c>
      <c r="G327" s="2">
        <v>17900</v>
      </c>
      <c r="H327" t="s">
        <v>26</v>
      </c>
      <c r="I327" t="s">
        <v>16</v>
      </c>
      <c r="J327">
        <v>0</v>
      </c>
      <c r="K327" t="s">
        <v>18</v>
      </c>
      <c r="L327" t="s">
        <v>17</v>
      </c>
      <c r="M327">
        <f>YEAR(Scaleflow[[#This Row],[Signup_Date]])</f>
        <v>2024</v>
      </c>
      <c r="N327" t="str">
        <f>TEXT(Scaleflow[[#This Row],[Signup_Date]],"MMM")</f>
        <v>Apr</v>
      </c>
      <c r="O327" t="str">
        <f>IF(Scaleflow[[#This Row],[Monthly_Revenue]]=0,"Free","Paid")</f>
        <v>Paid</v>
      </c>
      <c r="P327">
        <f>YEAR(Scaleflow[[#This Row],[TransactionDate]])</f>
        <v>2025</v>
      </c>
      <c r="Q327">
        <f>MONTH(Scaleflow[[#This Row],[TransactionDate]])</f>
        <v>5</v>
      </c>
      <c r="R327" t="str">
        <f>TEXT(Scaleflow[[#This Row],[TransactionDate]],"MMM")</f>
        <v>May</v>
      </c>
    </row>
    <row r="328" spans="1:18" x14ac:dyDescent="0.3">
      <c r="A328" t="s">
        <v>362</v>
      </c>
      <c r="B328" s="1">
        <v>45533</v>
      </c>
      <c r="C328" s="1">
        <v>46020</v>
      </c>
      <c r="D328" t="s">
        <v>24</v>
      </c>
      <c r="E328" t="s">
        <v>33</v>
      </c>
      <c r="F328" t="s">
        <v>46</v>
      </c>
      <c r="G328" s="2">
        <v>32380</v>
      </c>
      <c r="H328" t="s">
        <v>34</v>
      </c>
      <c r="I328" t="s">
        <v>27</v>
      </c>
      <c r="J328">
        <v>1</v>
      </c>
      <c r="K328" t="s">
        <v>18</v>
      </c>
      <c r="L328" t="s">
        <v>17</v>
      </c>
      <c r="M328">
        <f>YEAR(Scaleflow[[#This Row],[Signup_Date]])</f>
        <v>2024</v>
      </c>
      <c r="N328" t="str">
        <f>TEXT(Scaleflow[[#This Row],[Signup_Date]],"MMM")</f>
        <v>Aug</v>
      </c>
      <c r="O328" t="str">
        <f>IF(Scaleflow[[#This Row],[Monthly_Revenue]]=0,"Free","Paid")</f>
        <v>Paid</v>
      </c>
      <c r="P328">
        <f>YEAR(Scaleflow[[#This Row],[TransactionDate]])</f>
        <v>2025</v>
      </c>
      <c r="Q328">
        <f>MONTH(Scaleflow[[#This Row],[TransactionDate]])</f>
        <v>12</v>
      </c>
      <c r="R328" t="str">
        <f>TEXT(Scaleflow[[#This Row],[TransactionDate]],"MMM")</f>
        <v>Dec</v>
      </c>
    </row>
    <row r="329" spans="1:18" x14ac:dyDescent="0.3">
      <c r="A329" t="s">
        <v>363</v>
      </c>
      <c r="B329" s="1">
        <v>45285</v>
      </c>
      <c r="C329" s="1">
        <v>45736</v>
      </c>
      <c r="D329" t="s">
        <v>12</v>
      </c>
      <c r="E329" t="s">
        <v>21</v>
      </c>
      <c r="F329" t="s">
        <v>46</v>
      </c>
      <c r="G329" s="2">
        <v>31284</v>
      </c>
      <c r="H329" t="s">
        <v>49</v>
      </c>
      <c r="I329" t="s">
        <v>42</v>
      </c>
      <c r="J329">
        <v>2</v>
      </c>
      <c r="K329" t="s">
        <v>18</v>
      </c>
      <c r="L329" t="s">
        <v>17</v>
      </c>
      <c r="M329">
        <f>YEAR(Scaleflow[[#This Row],[Signup_Date]])</f>
        <v>2023</v>
      </c>
      <c r="N329" t="str">
        <f>TEXT(Scaleflow[[#This Row],[Signup_Date]],"MMM")</f>
        <v>Dec</v>
      </c>
      <c r="O329" t="str">
        <f>IF(Scaleflow[[#This Row],[Monthly_Revenue]]=0,"Free","Paid")</f>
        <v>Paid</v>
      </c>
      <c r="P329">
        <f>YEAR(Scaleflow[[#This Row],[TransactionDate]])</f>
        <v>2025</v>
      </c>
      <c r="Q329">
        <f>MONTH(Scaleflow[[#This Row],[TransactionDate]])</f>
        <v>3</v>
      </c>
      <c r="R329" t="str">
        <f>TEXT(Scaleflow[[#This Row],[TransactionDate]],"MMM")</f>
        <v>Mar</v>
      </c>
    </row>
    <row r="330" spans="1:18" x14ac:dyDescent="0.3">
      <c r="A330" t="s">
        <v>364</v>
      </c>
      <c r="B330" s="1">
        <v>45266</v>
      </c>
      <c r="C330" s="1">
        <v>45995</v>
      </c>
      <c r="D330" t="s">
        <v>12</v>
      </c>
      <c r="E330" t="s">
        <v>33</v>
      </c>
      <c r="F330" t="s">
        <v>46</v>
      </c>
      <c r="G330" s="2">
        <v>44866</v>
      </c>
      <c r="H330" t="s">
        <v>30</v>
      </c>
      <c r="I330" t="s">
        <v>16</v>
      </c>
      <c r="J330">
        <v>4</v>
      </c>
      <c r="K330" t="s">
        <v>18</v>
      </c>
      <c r="L330" t="s">
        <v>17</v>
      </c>
      <c r="M330">
        <f>YEAR(Scaleflow[[#This Row],[Signup_Date]])</f>
        <v>2023</v>
      </c>
      <c r="N330" t="str">
        <f>TEXT(Scaleflow[[#This Row],[Signup_Date]],"MMM")</f>
        <v>Dec</v>
      </c>
      <c r="O330" t="str">
        <f>IF(Scaleflow[[#This Row],[Monthly_Revenue]]=0,"Free","Paid")</f>
        <v>Paid</v>
      </c>
      <c r="P330">
        <f>YEAR(Scaleflow[[#This Row],[TransactionDate]])</f>
        <v>2025</v>
      </c>
      <c r="Q330">
        <f>MONTH(Scaleflow[[#This Row],[TransactionDate]])</f>
        <v>12</v>
      </c>
      <c r="R330" t="str">
        <f>TEXT(Scaleflow[[#This Row],[TransactionDate]],"MMM")</f>
        <v>Dec</v>
      </c>
    </row>
    <row r="331" spans="1:18" x14ac:dyDescent="0.3">
      <c r="A331" t="s">
        <v>365</v>
      </c>
      <c r="B331" s="1">
        <v>45565</v>
      </c>
      <c r="C331" s="1">
        <v>45924</v>
      </c>
      <c r="D331" t="s">
        <v>20</v>
      </c>
      <c r="E331" t="s">
        <v>21</v>
      </c>
      <c r="F331" t="s">
        <v>29</v>
      </c>
      <c r="G331" s="2">
        <v>7757</v>
      </c>
      <c r="H331" t="s">
        <v>22</v>
      </c>
      <c r="I331" t="s">
        <v>42</v>
      </c>
      <c r="J331">
        <v>4</v>
      </c>
      <c r="K331" t="s">
        <v>17</v>
      </c>
      <c r="L331" t="s">
        <v>18</v>
      </c>
      <c r="M331">
        <f>YEAR(Scaleflow[[#This Row],[Signup_Date]])</f>
        <v>2024</v>
      </c>
      <c r="N331" t="str">
        <f>TEXT(Scaleflow[[#This Row],[Signup_Date]],"MMM")</f>
        <v>Sep</v>
      </c>
      <c r="O331" t="str">
        <f>IF(Scaleflow[[#This Row],[Monthly_Revenue]]=0,"Free","Paid")</f>
        <v>Paid</v>
      </c>
      <c r="P331">
        <f>YEAR(Scaleflow[[#This Row],[TransactionDate]])</f>
        <v>2025</v>
      </c>
      <c r="Q331">
        <f>MONTH(Scaleflow[[#This Row],[TransactionDate]])</f>
        <v>9</v>
      </c>
      <c r="R331" t="str">
        <f>TEXT(Scaleflow[[#This Row],[TransactionDate]],"MMM")</f>
        <v>Sep</v>
      </c>
    </row>
    <row r="332" spans="1:18" x14ac:dyDescent="0.3">
      <c r="A332" t="s">
        <v>366</v>
      </c>
      <c r="B332" s="1">
        <v>45889</v>
      </c>
      <c r="C332" s="1">
        <v>45981</v>
      </c>
      <c r="D332" t="s">
        <v>12</v>
      </c>
      <c r="E332" t="s">
        <v>33</v>
      </c>
      <c r="F332" t="s">
        <v>12</v>
      </c>
      <c r="G332" s="2">
        <v>100364</v>
      </c>
      <c r="H332" t="s">
        <v>30</v>
      </c>
      <c r="I332" t="s">
        <v>27</v>
      </c>
      <c r="J332">
        <v>1</v>
      </c>
      <c r="K332" t="s">
        <v>17</v>
      </c>
      <c r="L332" t="s">
        <v>18</v>
      </c>
      <c r="M332">
        <f>YEAR(Scaleflow[[#This Row],[Signup_Date]])</f>
        <v>2025</v>
      </c>
      <c r="N332" t="str">
        <f>TEXT(Scaleflow[[#This Row],[Signup_Date]],"MMM")</f>
        <v>Aug</v>
      </c>
      <c r="O332" t="str">
        <f>IF(Scaleflow[[#This Row],[Monthly_Revenue]]=0,"Free","Paid")</f>
        <v>Paid</v>
      </c>
      <c r="P332">
        <f>YEAR(Scaleflow[[#This Row],[TransactionDate]])</f>
        <v>2025</v>
      </c>
      <c r="Q332">
        <f>MONTH(Scaleflow[[#This Row],[TransactionDate]])</f>
        <v>11</v>
      </c>
      <c r="R332" t="str">
        <f>TEXT(Scaleflow[[#This Row],[TransactionDate]],"MMM")</f>
        <v>Nov</v>
      </c>
    </row>
    <row r="333" spans="1:18" x14ac:dyDescent="0.3">
      <c r="A333" t="s">
        <v>367</v>
      </c>
      <c r="B333" s="1">
        <v>45855</v>
      </c>
      <c r="C333" s="1">
        <v>46007</v>
      </c>
      <c r="D333" t="s">
        <v>24</v>
      </c>
      <c r="E333" t="s">
        <v>13</v>
      </c>
      <c r="F333" t="s">
        <v>14</v>
      </c>
      <c r="G333" s="2">
        <v>0</v>
      </c>
      <c r="H333" t="s">
        <v>34</v>
      </c>
      <c r="I333" t="s">
        <v>27</v>
      </c>
      <c r="J333">
        <v>1</v>
      </c>
      <c r="K333" t="s">
        <v>18</v>
      </c>
      <c r="L333" t="s">
        <v>17</v>
      </c>
      <c r="M333">
        <f>YEAR(Scaleflow[[#This Row],[Signup_Date]])</f>
        <v>2025</v>
      </c>
      <c r="N333" t="str">
        <f>TEXT(Scaleflow[[#This Row],[Signup_Date]],"MMM")</f>
        <v>Jul</v>
      </c>
      <c r="O333" t="str">
        <f>IF(Scaleflow[[#This Row],[Monthly_Revenue]]=0,"Free","Paid")</f>
        <v>Free</v>
      </c>
      <c r="P333">
        <f>YEAR(Scaleflow[[#This Row],[TransactionDate]])</f>
        <v>2025</v>
      </c>
      <c r="Q333">
        <f>MONTH(Scaleflow[[#This Row],[TransactionDate]])</f>
        <v>12</v>
      </c>
      <c r="R333" t="str">
        <f>TEXT(Scaleflow[[#This Row],[TransactionDate]],"MMM")</f>
        <v>Dec</v>
      </c>
    </row>
    <row r="334" spans="1:18" x14ac:dyDescent="0.3">
      <c r="A334" t="s">
        <v>368</v>
      </c>
      <c r="B334" s="1">
        <v>45034</v>
      </c>
      <c r="C334" s="1">
        <v>45866</v>
      </c>
      <c r="D334" t="s">
        <v>24</v>
      </c>
      <c r="E334" t="s">
        <v>13</v>
      </c>
      <c r="F334" t="s">
        <v>14</v>
      </c>
      <c r="G334" s="2">
        <v>0</v>
      </c>
      <c r="H334" t="s">
        <v>49</v>
      </c>
      <c r="I334" t="s">
        <v>42</v>
      </c>
      <c r="J334">
        <v>0</v>
      </c>
      <c r="K334" t="s">
        <v>18</v>
      </c>
      <c r="L334" t="s">
        <v>17</v>
      </c>
      <c r="M334">
        <f>YEAR(Scaleflow[[#This Row],[Signup_Date]])</f>
        <v>2023</v>
      </c>
      <c r="N334" t="str">
        <f>TEXT(Scaleflow[[#This Row],[Signup_Date]],"MMM")</f>
        <v>Apr</v>
      </c>
      <c r="O334" t="str">
        <f>IF(Scaleflow[[#This Row],[Monthly_Revenue]]=0,"Free","Paid")</f>
        <v>Free</v>
      </c>
      <c r="P334">
        <f>YEAR(Scaleflow[[#This Row],[TransactionDate]])</f>
        <v>2025</v>
      </c>
      <c r="Q334">
        <f>MONTH(Scaleflow[[#This Row],[TransactionDate]])</f>
        <v>7</v>
      </c>
      <c r="R334" t="str">
        <f>TEXT(Scaleflow[[#This Row],[TransactionDate]],"MMM")</f>
        <v>Jul</v>
      </c>
    </row>
    <row r="335" spans="1:18" x14ac:dyDescent="0.3">
      <c r="A335" t="s">
        <v>369</v>
      </c>
      <c r="B335" s="1">
        <v>45157</v>
      </c>
      <c r="C335" s="1">
        <v>45367</v>
      </c>
      <c r="D335" t="s">
        <v>20</v>
      </c>
      <c r="E335" t="s">
        <v>21</v>
      </c>
      <c r="F335" t="s">
        <v>46</v>
      </c>
      <c r="G335" s="2">
        <v>47148</v>
      </c>
      <c r="H335" t="s">
        <v>34</v>
      </c>
      <c r="I335" t="s">
        <v>16</v>
      </c>
      <c r="J335">
        <v>3</v>
      </c>
      <c r="K335" t="s">
        <v>18</v>
      </c>
      <c r="L335" t="s">
        <v>17</v>
      </c>
      <c r="M335">
        <f>YEAR(Scaleflow[[#This Row],[Signup_Date]])</f>
        <v>2023</v>
      </c>
      <c r="N335" t="str">
        <f>TEXT(Scaleflow[[#This Row],[Signup_Date]],"MMM")</f>
        <v>Aug</v>
      </c>
      <c r="O335" t="str">
        <f>IF(Scaleflow[[#This Row],[Monthly_Revenue]]=0,"Free","Paid")</f>
        <v>Paid</v>
      </c>
      <c r="P335">
        <f>YEAR(Scaleflow[[#This Row],[TransactionDate]])</f>
        <v>2024</v>
      </c>
      <c r="Q335">
        <f>MONTH(Scaleflow[[#This Row],[TransactionDate]])</f>
        <v>3</v>
      </c>
      <c r="R335" t="str">
        <f>TEXT(Scaleflow[[#This Row],[TransactionDate]],"MMM")</f>
        <v>Mar</v>
      </c>
    </row>
    <row r="336" spans="1:18" x14ac:dyDescent="0.3">
      <c r="A336" t="s">
        <v>370</v>
      </c>
      <c r="B336" s="1">
        <v>44969</v>
      </c>
      <c r="C336" s="1">
        <v>45699</v>
      </c>
      <c r="D336" t="s">
        <v>24</v>
      </c>
      <c r="E336" t="s">
        <v>25</v>
      </c>
      <c r="F336" t="s">
        <v>46</v>
      </c>
      <c r="G336" s="2">
        <v>28875</v>
      </c>
      <c r="H336" t="s">
        <v>26</v>
      </c>
      <c r="I336" t="s">
        <v>36</v>
      </c>
      <c r="J336">
        <v>4</v>
      </c>
      <c r="K336" t="s">
        <v>18</v>
      </c>
      <c r="L336" t="s">
        <v>17</v>
      </c>
      <c r="M336">
        <f>YEAR(Scaleflow[[#This Row],[Signup_Date]])</f>
        <v>2023</v>
      </c>
      <c r="N336" t="str">
        <f>TEXT(Scaleflow[[#This Row],[Signup_Date]],"MMM")</f>
        <v>Feb</v>
      </c>
      <c r="O336" t="str">
        <f>IF(Scaleflow[[#This Row],[Monthly_Revenue]]=0,"Free","Paid")</f>
        <v>Paid</v>
      </c>
      <c r="P336">
        <f>YEAR(Scaleflow[[#This Row],[TransactionDate]])</f>
        <v>2025</v>
      </c>
      <c r="Q336">
        <f>MONTH(Scaleflow[[#This Row],[TransactionDate]])</f>
        <v>2</v>
      </c>
      <c r="R336" t="str">
        <f>TEXT(Scaleflow[[#This Row],[TransactionDate]],"MMM")</f>
        <v>Feb</v>
      </c>
    </row>
    <row r="337" spans="1:18" x14ac:dyDescent="0.3">
      <c r="A337" t="s">
        <v>371</v>
      </c>
      <c r="B337" s="1">
        <v>45908</v>
      </c>
      <c r="C337" s="1">
        <v>45943</v>
      </c>
      <c r="D337" t="s">
        <v>24</v>
      </c>
      <c r="E337" t="s">
        <v>13</v>
      </c>
      <c r="F337" t="s">
        <v>29</v>
      </c>
      <c r="G337" s="2">
        <v>11607</v>
      </c>
      <c r="H337" t="s">
        <v>49</v>
      </c>
      <c r="I337" t="s">
        <v>16</v>
      </c>
      <c r="J337">
        <v>5</v>
      </c>
      <c r="K337" t="s">
        <v>18</v>
      </c>
      <c r="L337" t="s">
        <v>17</v>
      </c>
      <c r="M337">
        <f>YEAR(Scaleflow[[#This Row],[Signup_Date]])</f>
        <v>2025</v>
      </c>
      <c r="N337" t="str">
        <f>TEXT(Scaleflow[[#This Row],[Signup_Date]],"MMM")</f>
        <v>Sep</v>
      </c>
      <c r="O337" t="str">
        <f>IF(Scaleflow[[#This Row],[Monthly_Revenue]]=0,"Free","Paid")</f>
        <v>Paid</v>
      </c>
      <c r="P337">
        <f>YEAR(Scaleflow[[#This Row],[TransactionDate]])</f>
        <v>2025</v>
      </c>
      <c r="Q337">
        <f>MONTH(Scaleflow[[#This Row],[TransactionDate]])</f>
        <v>10</v>
      </c>
      <c r="R337" t="str">
        <f>TEXT(Scaleflow[[#This Row],[TransactionDate]],"MMM")</f>
        <v>Oct</v>
      </c>
    </row>
    <row r="338" spans="1:18" x14ac:dyDescent="0.3">
      <c r="A338" t="s">
        <v>372</v>
      </c>
      <c r="B338" s="1">
        <v>45424</v>
      </c>
      <c r="C338" s="1">
        <v>45434</v>
      </c>
      <c r="D338" t="s">
        <v>12</v>
      </c>
      <c r="E338" t="s">
        <v>21</v>
      </c>
      <c r="F338" t="s">
        <v>29</v>
      </c>
      <c r="G338" s="2">
        <v>12528</v>
      </c>
      <c r="H338" t="s">
        <v>26</v>
      </c>
      <c r="I338" t="s">
        <v>27</v>
      </c>
      <c r="J338">
        <v>4</v>
      </c>
      <c r="K338" t="s">
        <v>18</v>
      </c>
      <c r="L338" t="s">
        <v>17</v>
      </c>
      <c r="M338">
        <f>YEAR(Scaleflow[[#This Row],[Signup_Date]])</f>
        <v>2024</v>
      </c>
      <c r="N338" t="str">
        <f>TEXT(Scaleflow[[#This Row],[Signup_Date]],"MMM")</f>
        <v>May</v>
      </c>
      <c r="O338" t="str">
        <f>IF(Scaleflow[[#This Row],[Monthly_Revenue]]=0,"Free","Paid")</f>
        <v>Paid</v>
      </c>
      <c r="P338">
        <f>YEAR(Scaleflow[[#This Row],[TransactionDate]])</f>
        <v>2024</v>
      </c>
      <c r="Q338">
        <f>MONTH(Scaleflow[[#This Row],[TransactionDate]])</f>
        <v>5</v>
      </c>
      <c r="R338" t="str">
        <f>TEXT(Scaleflow[[#This Row],[TransactionDate]],"MMM")</f>
        <v>May</v>
      </c>
    </row>
    <row r="339" spans="1:18" x14ac:dyDescent="0.3">
      <c r="A339" t="s">
        <v>373</v>
      </c>
      <c r="B339" s="1">
        <v>45019</v>
      </c>
      <c r="C339" s="1">
        <v>45248</v>
      </c>
      <c r="D339" t="s">
        <v>24</v>
      </c>
      <c r="E339" t="s">
        <v>25</v>
      </c>
      <c r="F339" t="s">
        <v>14</v>
      </c>
      <c r="G339" s="2">
        <v>0</v>
      </c>
      <c r="H339" t="s">
        <v>30</v>
      </c>
      <c r="I339" t="s">
        <v>16</v>
      </c>
      <c r="J339">
        <v>0</v>
      </c>
      <c r="K339" t="s">
        <v>18</v>
      </c>
      <c r="L339" t="s">
        <v>17</v>
      </c>
      <c r="M339">
        <f>YEAR(Scaleflow[[#This Row],[Signup_Date]])</f>
        <v>2023</v>
      </c>
      <c r="N339" t="str">
        <f>TEXT(Scaleflow[[#This Row],[Signup_Date]],"MMM")</f>
        <v>Apr</v>
      </c>
      <c r="O339" t="str">
        <f>IF(Scaleflow[[#This Row],[Monthly_Revenue]]=0,"Free","Paid")</f>
        <v>Free</v>
      </c>
      <c r="P339">
        <f>YEAR(Scaleflow[[#This Row],[TransactionDate]])</f>
        <v>2023</v>
      </c>
      <c r="Q339">
        <f>MONTH(Scaleflow[[#This Row],[TransactionDate]])</f>
        <v>11</v>
      </c>
      <c r="R339" t="str">
        <f>TEXT(Scaleflow[[#This Row],[TransactionDate]],"MMM")</f>
        <v>Nov</v>
      </c>
    </row>
    <row r="340" spans="1:18" x14ac:dyDescent="0.3">
      <c r="A340" t="s">
        <v>374</v>
      </c>
      <c r="B340" s="1">
        <v>45292</v>
      </c>
      <c r="C340" s="1">
        <v>45715</v>
      </c>
      <c r="D340" t="s">
        <v>12</v>
      </c>
      <c r="E340" t="s">
        <v>21</v>
      </c>
      <c r="F340" t="s">
        <v>14</v>
      </c>
      <c r="G340" s="2">
        <v>0</v>
      </c>
      <c r="H340" t="s">
        <v>30</v>
      </c>
      <c r="I340" t="s">
        <v>42</v>
      </c>
      <c r="J340">
        <v>5</v>
      </c>
      <c r="K340" t="s">
        <v>18</v>
      </c>
      <c r="L340" t="s">
        <v>17</v>
      </c>
      <c r="M340">
        <f>YEAR(Scaleflow[[#This Row],[Signup_Date]])</f>
        <v>2024</v>
      </c>
      <c r="N340" t="str">
        <f>TEXT(Scaleflow[[#This Row],[Signup_Date]],"MMM")</f>
        <v>Jan</v>
      </c>
      <c r="O340" t="str">
        <f>IF(Scaleflow[[#This Row],[Monthly_Revenue]]=0,"Free","Paid")</f>
        <v>Free</v>
      </c>
      <c r="P340">
        <f>YEAR(Scaleflow[[#This Row],[TransactionDate]])</f>
        <v>2025</v>
      </c>
      <c r="Q340">
        <f>MONTH(Scaleflow[[#This Row],[TransactionDate]])</f>
        <v>2</v>
      </c>
      <c r="R340" t="str">
        <f>TEXT(Scaleflow[[#This Row],[TransactionDate]],"MMM")</f>
        <v>Feb</v>
      </c>
    </row>
    <row r="341" spans="1:18" x14ac:dyDescent="0.3">
      <c r="A341" t="s">
        <v>375</v>
      </c>
      <c r="B341" s="1">
        <v>45518</v>
      </c>
      <c r="C341" s="1">
        <v>45781</v>
      </c>
      <c r="D341" t="s">
        <v>12</v>
      </c>
      <c r="E341" t="s">
        <v>13</v>
      </c>
      <c r="F341" t="s">
        <v>46</v>
      </c>
      <c r="G341" s="2">
        <v>34512</v>
      </c>
      <c r="H341" t="s">
        <v>15</v>
      </c>
      <c r="I341" t="s">
        <v>42</v>
      </c>
      <c r="J341">
        <v>3</v>
      </c>
      <c r="K341" t="s">
        <v>18</v>
      </c>
      <c r="L341" t="s">
        <v>17</v>
      </c>
      <c r="M341">
        <f>YEAR(Scaleflow[[#This Row],[Signup_Date]])</f>
        <v>2024</v>
      </c>
      <c r="N341" t="str">
        <f>TEXT(Scaleflow[[#This Row],[Signup_Date]],"MMM")</f>
        <v>Aug</v>
      </c>
      <c r="O341" t="str">
        <f>IF(Scaleflow[[#This Row],[Monthly_Revenue]]=0,"Free","Paid")</f>
        <v>Paid</v>
      </c>
      <c r="P341">
        <f>YEAR(Scaleflow[[#This Row],[TransactionDate]])</f>
        <v>2025</v>
      </c>
      <c r="Q341">
        <f>MONTH(Scaleflow[[#This Row],[TransactionDate]])</f>
        <v>5</v>
      </c>
      <c r="R341" t="str">
        <f>TEXT(Scaleflow[[#This Row],[TransactionDate]],"MMM")</f>
        <v>May</v>
      </c>
    </row>
    <row r="342" spans="1:18" x14ac:dyDescent="0.3">
      <c r="A342" t="s">
        <v>376</v>
      </c>
      <c r="B342" s="1">
        <v>45786</v>
      </c>
      <c r="C342" s="1">
        <v>45972</v>
      </c>
      <c r="D342" t="s">
        <v>24</v>
      </c>
      <c r="E342" t="s">
        <v>33</v>
      </c>
      <c r="F342" t="s">
        <v>12</v>
      </c>
      <c r="G342" s="2">
        <v>150188</v>
      </c>
      <c r="H342" t="s">
        <v>30</v>
      </c>
      <c r="I342" t="s">
        <v>42</v>
      </c>
      <c r="J342">
        <v>1</v>
      </c>
      <c r="K342" t="s">
        <v>18</v>
      </c>
      <c r="L342" t="s">
        <v>17</v>
      </c>
      <c r="M342">
        <f>YEAR(Scaleflow[[#This Row],[Signup_Date]])</f>
        <v>2025</v>
      </c>
      <c r="N342" t="str">
        <f>TEXT(Scaleflow[[#This Row],[Signup_Date]],"MMM")</f>
        <v>May</v>
      </c>
      <c r="O342" t="str">
        <f>IF(Scaleflow[[#This Row],[Monthly_Revenue]]=0,"Free","Paid")</f>
        <v>Paid</v>
      </c>
      <c r="P342">
        <f>YEAR(Scaleflow[[#This Row],[TransactionDate]])</f>
        <v>2025</v>
      </c>
      <c r="Q342">
        <f>MONTH(Scaleflow[[#This Row],[TransactionDate]])</f>
        <v>11</v>
      </c>
      <c r="R342" t="str">
        <f>TEXT(Scaleflow[[#This Row],[TransactionDate]],"MMM")</f>
        <v>Nov</v>
      </c>
    </row>
    <row r="343" spans="1:18" x14ac:dyDescent="0.3">
      <c r="A343" t="s">
        <v>377</v>
      </c>
      <c r="B343" s="1">
        <v>45199</v>
      </c>
      <c r="C343" s="1">
        <v>45549</v>
      </c>
      <c r="D343" t="s">
        <v>20</v>
      </c>
      <c r="E343" t="s">
        <v>41</v>
      </c>
      <c r="F343" t="s">
        <v>29</v>
      </c>
      <c r="G343" s="2">
        <v>8634</v>
      </c>
      <c r="H343" t="s">
        <v>30</v>
      </c>
      <c r="I343" t="s">
        <v>16</v>
      </c>
      <c r="J343">
        <v>1</v>
      </c>
      <c r="K343" t="s">
        <v>18</v>
      </c>
      <c r="L343" t="s">
        <v>17</v>
      </c>
      <c r="M343">
        <f>YEAR(Scaleflow[[#This Row],[Signup_Date]])</f>
        <v>2023</v>
      </c>
      <c r="N343" t="str">
        <f>TEXT(Scaleflow[[#This Row],[Signup_Date]],"MMM")</f>
        <v>Sep</v>
      </c>
      <c r="O343" t="str">
        <f>IF(Scaleflow[[#This Row],[Monthly_Revenue]]=0,"Free","Paid")</f>
        <v>Paid</v>
      </c>
      <c r="P343">
        <f>YEAR(Scaleflow[[#This Row],[TransactionDate]])</f>
        <v>2024</v>
      </c>
      <c r="Q343">
        <f>MONTH(Scaleflow[[#This Row],[TransactionDate]])</f>
        <v>9</v>
      </c>
      <c r="R343" t="str">
        <f>TEXT(Scaleflow[[#This Row],[TransactionDate]],"MMM")</f>
        <v>Sep</v>
      </c>
    </row>
    <row r="344" spans="1:18" x14ac:dyDescent="0.3">
      <c r="A344" t="s">
        <v>378</v>
      </c>
      <c r="B344" s="1">
        <v>45903</v>
      </c>
      <c r="C344" s="1">
        <v>45950</v>
      </c>
      <c r="D344" t="s">
        <v>12</v>
      </c>
      <c r="E344" t="s">
        <v>39</v>
      </c>
      <c r="F344" t="s">
        <v>14</v>
      </c>
      <c r="G344" s="2">
        <v>0</v>
      </c>
      <c r="H344" t="s">
        <v>26</v>
      </c>
      <c r="I344" t="s">
        <v>27</v>
      </c>
      <c r="J344">
        <v>4</v>
      </c>
      <c r="K344" t="s">
        <v>17</v>
      </c>
      <c r="L344" t="s">
        <v>18</v>
      </c>
      <c r="M344">
        <f>YEAR(Scaleflow[[#This Row],[Signup_Date]])</f>
        <v>2025</v>
      </c>
      <c r="N344" t="str">
        <f>TEXT(Scaleflow[[#This Row],[Signup_Date]],"MMM")</f>
        <v>Sep</v>
      </c>
      <c r="O344" t="str">
        <f>IF(Scaleflow[[#This Row],[Monthly_Revenue]]=0,"Free","Paid")</f>
        <v>Free</v>
      </c>
      <c r="P344">
        <f>YEAR(Scaleflow[[#This Row],[TransactionDate]])</f>
        <v>2025</v>
      </c>
      <c r="Q344">
        <f>MONTH(Scaleflow[[#This Row],[TransactionDate]])</f>
        <v>10</v>
      </c>
      <c r="R344" t="str">
        <f>TEXT(Scaleflow[[#This Row],[TransactionDate]],"MMM")</f>
        <v>Oct</v>
      </c>
    </row>
    <row r="345" spans="1:18" x14ac:dyDescent="0.3">
      <c r="A345" t="s">
        <v>379</v>
      </c>
      <c r="B345" s="1">
        <v>45584</v>
      </c>
      <c r="C345" s="1">
        <v>45859</v>
      </c>
      <c r="D345" t="s">
        <v>24</v>
      </c>
      <c r="E345" t="s">
        <v>33</v>
      </c>
      <c r="F345" t="s">
        <v>14</v>
      </c>
      <c r="G345" s="2">
        <v>0</v>
      </c>
      <c r="H345" t="s">
        <v>49</v>
      </c>
      <c r="I345" t="s">
        <v>36</v>
      </c>
      <c r="J345">
        <v>1</v>
      </c>
      <c r="K345" t="s">
        <v>18</v>
      </c>
      <c r="L345" t="s">
        <v>17</v>
      </c>
      <c r="M345">
        <f>YEAR(Scaleflow[[#This Row],[Signup_Date]])</f>
        <v>2024</v>
      </c>
      <c r="N345" t="str">
        <f>TEXT(Scaleflow[[#This Row],[Signup_Date]],"MMM")</f>
        <v>Oct</v>
      </c>
      <c r="O345" t="str">
        <f>IF(Scaleflow[[#This Row],[Monthly_Revenue]]=0,"Free","Paid")</f>
        <v>Free</v>
      </c>
      <c r="P345">
        <f>YEAR(Scaleflow[[#This Row],[TransactionDate]])</f>
        <v>2025</v>
      </c>
      <c r="Q345">
        <f>MONTH(Scaleflow[[#This Row],[TransactionDate]])</f>
        <v>7</v>
      </c>
      <c r="R345" t="str">
        <f>TEXT(Scaleflow[[#This Row],[TransactionDate]],"MMM")</f>
        <v>Jul</v>
      </c>
    </row>
    <row r="346" spans="1:18" x14ac:dyDescent="0.3">
      <c r="A346" t="s">
        <v>380</v>
      </c>
      <c r="B346" s="1">
        <v>45664</v>
      </c>
      <c r="C346" s="1">
        <v>45687</v>
      </c>
      <c r="D346" t="s">
        <v>20</v>
      </c>
      <c r="E346" t="s">
        <v>25</v>
      </c>
      <c r="F346" t="s">
        <v>46</v>
      </c>
      <c r="G346" s="2">
        <v>52725</v>
      </c>
      <c r="H346" t="s">
        <v>49</v>
      </c>
      <c r="I346" t="s">
        <v>27</v>
      </c>
      <c r="J346">
        <v>5</v>
      </c>
      <c r="K346" t="s">
        <v>18</v>
      </c>
      <c r="L346" t="s">
        <v>17</v>
      </c>
      <c r="M346">
        <f>YEAR(Scaleflow[[#This Row],[Signup_Date]])</f>
        <v>2025</v>
      </c>
      <c r="N346" t="str">
        <f>TEXT(Scaleflow[[#This Row],[Signup_Date]],"MMM")</f>
        <v>Jan</v>
      </c>
      <c r="O346" t="str">
        <f>IF(Scaleflow[[#This Row],[Monthly_Revenue]]=0,"Free","Paid")</f>
        <v>Paid</v>
      </c>
      <c r="P346">
        <f>YEAR(Scaleflow[[#This Row],[TransactionDate]])</f>
        <v>2025</v>
      </c>
      <c r="Q346">
        <f>MONTH(Scaleflow[[#This Row],[TransactionDate]])</f>
        <v>1</v>
      </c>
      <c r="R346" t="str">
        <f>TEXT(Scaleflow[[#This Row],[TransactionDate]],"MMM")</f>
        <v>Jan</v>
      </c>
    </row>
    <row r="347" spans="1:18" x14ac:dyDescent="0.3">
      <c r="A347" t="s">
        <v>381</v>
      </c>
      <c r="B347" s="1">
        <v>44992</v>
      </c>
      <c r="C347" s="1">
        <v>45644</v>
      </c>
      <c r="D347" t="s">
        <v>12</v>
      </c>
      <c r="E347" t="s">
        <v>21</v>
      </c>
      <c r="F347" t="s">
        <v>12</v>
      </c>
      <c r="G347" s="2">
        <v>208473</v>
      </c>
      <c r="H347" t="s">
        <v>15</v>
      </c>
      <c r="I347" t="s">
        <v>16</v>
      </c>
      <c r="J347">
        <v>4</v>
      </c>
      <c r="K347" t="s">
        <v>18</v>
      </c>
      <c r="L347" t="s">
        <v>17</v>
      </c>
      <c r="M347">
        <f>YEAR(Scaleflow[[#This Row],[Signup_Date]])</f>
        <v>2023</v>
      </c>
      <c r="N347" t="str">
        <f>TEXT(Scaleflow[[#This Row],[Signup_Date]],"MMM")</f>
        <v>Mar</v>
      </c>
      <c r="O347" t="str">
        <f>IF(Scaleflow[[#This Row],[Monthly_Revenue]]=0,"Free","Paid")</f>
        <v>Paid</v>
      </c>
      <c r="P347">
        <f>YEAR(Scaleflow[[#This Row],[TransactionDate]])</f>
        <v>2024</v>
      </c>
      <c r="Q347">
        <f>MONTH(Scaleflow[[#This Row],[TransactionDate]])</f>
        <v>12</v>
      </c>
      <c r="R347" t="str">
        <f>TEXT(Scaleflow[[#This Row],[TransactionDate]],"MMM")</f>
        <v>Dec</v>
      </c>
    </row>
    <row r="348" spans="1:18" x14ac:dyDescent="0.3">
      <c r="A348" t="s">
        <v>382</v>
      </c>
      <c r="B348" s="1">
        <v>45034</v>
      </c>
      <c r="C348" s="1">
        <v>45514</v>
      </c>
      <c r="D348" t="s">
        <v>20</v>
      </c>
      <c r="E348" t="s">
        <v>21</v>
      </c>
      <c r="F348" t="s">
        <v>12</v>
      </c>
      <c r="G348" s="2">
        <v>145463</v>
      </c>
      <c r="H348" t="s">
        <v>22</v>
      </c>
      <c r="I348" t="s">
        <v>36</v>
      </c>
      <c r="J348">
        <v>3</v>
      </c>
      <c r="K348" t="s">
        <v>17</v>
      </c>
      <c r="L348" t="s">
        <v>18</v>
      </c>
      <c r="M348">
        <f>YEAR(Scaleflow[[#This Row],[Signup_Date]])</f>
        <v>2023</v>
      </c>
      <c r="N348" t="str">
        <f>TEXT(Scaleflow[[#This Row],[Signup_Date]],"MMM")</f>
        <v>Apr</v>
      </c>
      <c r="O348" t="str">
        <f>IF(Scaleflow[[#This Row],[Monthly_Revenue]]=0,"Free","Paid")</f>
        <v>Paid</v>
      </c>
      <c r="P348">
        <f>YEAR(Scaleflow[[#This Row],[TransactionDate]])</f>
        <v>2024</v>
      </c>
      <c r="Q348">
        <f>MONTH(Scaleflow[[#This Row],[TransactionDate]])</f>
        <v>8</v>
      </c>
      <c r="R348" t="str">
        <f>TEXT(Scaleflow[[#This Row],[TransactionDate]],"MMM")</f>
        <v>Aug</v>
      </c>
    </row>
    <row r="349" spans="1:18" x14ac:dyDescent="0.3">
      <c r="A349" t="s">
        <v>383</v>
      </c>
      <c r="B349" s="1">
        <v>45395</v>
      </c>
      <c r="C349" s="1">
        <v>45733</v>
      </c>
      <c r="D349" t="s">
        <v>12</v>
      </c>
      <c r="E349" t="s">
        <v>33</v>
      </c>
      <c r="F349" t="s">
        <v>12</v>
      </c>
      <c r="G349" s="2">
        <v>193215</v>
      </c>
      <c r="H349" t="s">
        <v>34</v>
      </c>
      <c r="I349" t="s">
        <v>36</v>
      </c>
      <c r="J349">
        <v>0</v>
      </c>
      <c r="K349" t="s">
        <v>17</v>
      </c>
      <c r="L349" t="s">
        <v>18</v>
      </c>
      <c r="M349">
        <f>YEAR(Scaleflow[[#This Row],[Signup_Date]])</f>
        <v>2024</v>
      </c>
      <c r="N349" t="str">
        <f>TEXT(Scaleflow[[#This Row],[Signup_Date]],"MMM")</f>
        <v>Apr</v>
      </c>
      <c r="O349" t="str">
        <f>IF(Scaleflow[[#This Row],[Monthly_Revenue]]=0,"Free","Paid")</f>
        <v>Paid</v>
      </c>
      <c r="P349">
        <f>YEAR(Scaleflow[[#This Row],[TransactionDate]])</f>
        <v>2025</v>
      </c>
      <c r="Q349">
        <f>MONTH(Scaleflow[[#This Row],[TransactionDate]])</f>
        <v>3</v>
      </c>
      <c r="R349" t="str">
        <f>TEXT(Scaleflow[[#This Row],[TransactionDate]],"MMM")</f>
        <v>Mar</v>
      </c>
    </row>
    <row r="350" spans="1:18" x14ac:dyDescent="0.3">
      <c r="A350" t="s">
        <v>384</v>
      </c>
      <c r="B350" s="1">
        <v>44989</v>
      </c>
      <c r="C350" s="1">
        <v>45519</v>
      </c>
      <c r="D350" t="s">
        <v>20</v>
      </c>
      <c r="E350" t="s">
        <v>13</v>
      </c>
      <c r="F350" t="s">
        <v>12</v>
      </c>
      <c r="G350" s="2">
        <v>153611</v>
      </c>
      <c r="H350" t="s">
        <v>49</v>
      </c>
      <c r="I350" t="s">
        <v>27</v>
      </c>
      <c r="J350">
        <v>5</v>
      </c>
      <c r="K350" t="s">
        <v>18</v>
      </c>
      <c r="L350" t="s">
        <v>17</v>
      </c>
      <c r="M350">
        <f>YEAR(Scaleflow[[#This Row],[Signup_Date]])</f>
        <v>2023</v>
      </c>
      <c r="N350" t="str">
        <f>TEXT(Scaleflow[[#This Row],[Signup_Date]],"MMM")</f>
        <v>Mar</v>
      </c>
      <c r="O350" t="str">
        <f>IF(Scaleflow[[#This Row],[Monthly_Revenue]]=0,"Free","Paid")</f>
        <v>Paid</v>
      </c>
      <c r="P350">
        <f>YEAR(Scaleflow[[#This Row],[TransactionDate]])</f>
        <v>2024</v>
      </c>
      <c r="Q350">
        <f>MONTH(Scaleflow[[#This Row],[TransactionDate]])</f>
        <v>8</v>
      </c>
      <c r="R350" t="str">
        <f>TEXT(Scaleflow[[#This Row],[TransactionDate]],"MMM")</f>
        <v>Aug</v>
      </c>
    </row>
    <row r="351" spans="1:18" x14ac:dyDescent="0.3">
      <c r="A351" t="s">
        <v>385</v>
      </c>
      <c r="B351" s="1">
        <v>45169</v>
      </c>
      <c r="C351" s="1">
        <v>45767</v>
      </c>
      <c r="D351" t="s">
        <v>20</v>
      </c>
      <c r="E351" t="s">
        <v>41</v>
      </c>
      <c r="F351" t="s">
        <v>14</v>
      </c>
      <c r="G351" s="2">
        <v>0</v>
      </c>
      <c r="H351" t="s">
        <v>49</v>
      </c>
      <c r="I351" t="s">
        <v>27</v>
      </c>
      <c r="J351">
        <v>1</v>
      </c>
      <c r="K351" t="s">
        <v>18</v>
      </c>
      <c r="L351" t="s">
        <v>17</v>
      </c>
      <c r="M351">
        <f>YEAR(Scaleflow[[#This Row],[Signup_Date]])</f>
        <v>2023</v>
      </c>
      <c r="N351" t="str">
        <f>TEXT(Scaleflow[[#This Row],[Signup_Date]],"MMM")</f>
        <v>Aug</v>
      </c>
      <c r="O351" t="str">
        <f>IF(Scaleflow[[#This Row],[Monthly_Revenue]]=0,"Free","Paid")</f>
        <v>Free</v>
      </c>
      <c r="P351">
        <f>YEAR(Scaleflow[[#This Row],[TransactionDate]])</f>
        <v>2025</v>
      </c>
      <c r="Q351">
        <f>MONTH(Scaleflow[[#This Row],[TransactionDate]])</f>
        <v>4</v>
      </c>
      <c r="R351" t="str">
        <f>TEXT(Scaleflow[[#This Row],[TransactionDate]],"MMM")</f>
        <v>Apr</v>
      </c>
    </row>
    <row r="352" spans="1:18" x14ac:dyDescent="0.3">
      <c r="A352" t="s">
        <v>386</v>
      </c>
      <c r="B352" s="1">
        <v>45309</v>
      </c>
      <c r="C352" s="1">
        <v>45331</v>
      </c>
      <c r="D352" t="s">
        <v>20</v>
      </c>
      <c r="E352" t="s">
        <v>41</v>
      </c>
      <c r="F352" t="s">
        <v>29</v>
      </c>
      <c r="G352" s="2">
        <v>16632</v>
      </c>
      <c r="H352" t="s">
        <v>22</v>
      </c>
      <c r="I352" t="s">
        <v>27</v>
      </c>
      <c r="J352">
        <v>5</v>
      </c>
      <c r="K352" t="s">
        <v>18</v>
      </c>
      <c r="L352" t="s">
        <v>17</v>
      </c>
      <c r="M352">
        <f>YEAR(Scaleflow[[#This Row],[Signup_Date]])</f>
        <v>2024</v>
      </c>
      <c r="N352" t="str">
        <f>TEXT(Scaleflow[[#This Row],[Signup_Date]],"MMM")</f>
        <v>Jan</v>
      </c>
      <c r="O352" t="str">
        <f>IF(Scaleflow[[#This Row],[Monthly_Revenue]]=0,"Free","Paid")</f>
        <v>Paid</v>
      </c>
      <c r="P352">
        <f>YEAR(Scaleflow[[#This Row],[TransactionDate]])</f>
        <v>2024</v>
      </c>
      <c r="Q352">
        <f>MONTH(Scaleflow[[#This Row],[TransactionDate]])</f>
        <v>2</v>
      </c>
      <c r="R352" t="str">
        <f>TEXT(Scaleflow[[#This Row],[TransactionDate]],"MMM")</f>
        <v>Feb</v>
      </c>
    </row>
    <row r="353" spans="1:18" x14ac:dyDescent="0.3">
      <c r="A353" t="s">
        <v>387</v>
      </c>
      <c r="B353" s="1">
        <v>44995</v>
      </c>
      <c r="C353" s="1">
        <v>45820</v>
      </c>
      <c r="D353" t="s">
        <v>24</v>
      </c>
      <c r="E353" t="s">
        <v>25</v>
      </c>
      <c r="F353" t="s">
        <v>29</v>
      </c>
      <c r="G353" s="2">
        <v>10144</v>
      </c>
      <c r="H353" t="s">
        <v>22</v>
      </c>
      <c r="I353" t="s">
        <v>36</v>
      </c>
      <c r="J353">
        <v>5</v>
      </c>
      <c r="K353" t="s">
        <v>18</v>
      </c>
      <c r="L353" t="s">
        <v>17</v>
      </c>
      <c r="M353">
        <f>YEAR(Scaleflow[[#This Row],[Signup_Date]])</f>
        <v>2023</v>
      </c>
      <c r="N353" t="str">
        <f>TEXT(Scaleflow[[#This Row],[Signup_Date]],"MMM")</f>
        <v>Mar</v>
      </c>
      <c r="O353" t="str">
        <f>IF(Scaleflow[[#This Row],[Monthly_Revenue]]=0,"Free","Paid")</f>
        <v>Paid</v>
      </c>
      <c r="P353">
        <f>YEAR(Scaleflow[[#This Row],[TransactionDate]])</f>
        <v>2025</v>
      </c>
      <c r="Q353">
        <f>MONTH(Scaleflow[[#This Row],[TransactionDate]])</f>
        <v>6</v>
      </c>
      <c r="R353" t="str">
        <f>TEXT(Scaleflow[[#This Row],[TransactionDate]],"MMM")</f>
        <v>Jun</v>
      </c>
    </row>
    <row r="354" spans="1:18" x14ac:dyDescent="0.3">
      <c r="A354" t="s">
        <v>388</v>
      </c>
      <c r="B354" s="1">
        <v>45136</v>
      </c>
      <c r="C354" s="1">
        <v>45624</v>
      </c>
      <c r="D354" t="s">
        <v>12</v>
      </c>
      <c r="E354" t="s">
        <v>41</v>
      </c>
      <c r="F354" t="s">
        <v>12</v>
      </c>
      <c r="G354" s="2">
        <v>223536</v>
      </c>
      <c r="H354" t="s">
        <v>15</v>
      </c>
      <c r="I354" t="s">
        <v>31</v>
      </c>
      <c r="J354">
        <v>2</v>
      </c>
      <c r="K354" t="s">
        <v>18</v>
      </c>
      <c r="L354" t="s">
        <v>17</v>
      </c>
      <c r="M354">
        <f>YEAR(Scaleflow[[#This Row],[Signup_Date]])</f>
        <v>2023</v>
      </c>
      <c r="N354" t="str">
        <f>TEXT(Scaleflow[[#This Row],[Signup_Date]],"MMM")</f>
        <v>Jul</v>
      </c>
      <c r="O354" t="str">
        <f>IF(Scaleflow[[#This Row],[Monthly_Revenue]]=0,"Free","Paid")</f>
        <v>Paid</v>
      </c>
      <c r="P354">
        <f>YEAR(Scaleflow[[#This Row],[TransactionDate]])</f>
        <v>2024</v>
      </c>
      <c r="Q354">
        <f>MONTH(Scaleflow[[#This Row],[TransactionDate]])</f>
        <v>11</v>
      </c>
      <c r="R354" t="str">
        <f>TEXT(Scaleflow[[#This Row],[TransactionDate]],"MMM")</f>
        <v>Nov</v>
      </c>
    </row>
    <row r="355" spans="1:18" x14ac:dyDescent="0.3">
      <c r="A355" t="s">
        <v>389</v>
      </c>
      <c r="B355" s="1">
        <v>45490</v>
      </c>
      <c r="C355" s="1">
        <v>45766</v>
      </c>
      <c r="D355" t="s">
        <v>24</v>
      </c>
      <c r="E355" t="s">
        <v>25</v>
      </c>
      <c r="F355" t="s">
        <v>46</v>
      </c>
      <c r="G355" s="2">
        <v>57802</v>
      </c>
      <c r="H355" t="s">
        <v>30</v>
      </c>
      <c r="I355" t="s">
        <v>42</v>
      </c>
      <c r="J355">
        <v>4</v>
      </c>
      <c r="K355" t="s">
        <v>18</v>
      </c>
      <c r="L355" t="s">
        <v>17</v>
      </c>
      <c r="M355">
        <f>YEAR(Scaleflow[[#This Row],[Signup_Date]])</f>
        <v>2024</v>
      </c>
      <c r="N355" t="str">
        <f>TEXT(Scaleflow[[#This Row],[Signup_Date]],"MMM")</f>
        <v>Jul</v>
      </c>
      <c r="O355" t="str">
        <f>IF(Scaleflow[[#This Row],[Monthly_Revenue]]=0,"Free","Paid")</f>
        <v>Paid</v>
      </c>
      <c r="P355">
        <f>YEAR(Scaleflow[[#This Row],[TransactionDate]])</f>
        <v>2025</v>
      </c>
      <c r="Q355">
        <f>MONTH(Scaleflow[[#This Row],[TransactionDate]])</f>
        <v>4</v>
      </c>
      <c r="R355" t="str">
        <f>TEXT(Scaleflow[[#This Row],[TransactionDate]],"MMM")</f>
        <v>Apr</v>
      </c>
    </row>
    <row r="356" spans="1:18" x14ac:dyDescent="0.3">
      <c r="A356" t="s">
        <v>390</v>
      </c>
      <c r="B356" s="1">
        <v>45774</v>
      </c>
      <c r="C356" s="1">
        <v>45950</v>
      </c>
      <c r="D356" t="s">
        <v>24</v>
      </c>
      <c r="E356" t="s">
        <v>21</v>
      </c>
      <c r="F356" t="s">
        <v>12</v>
      </c>
      <c r="G356" s="2">
        <v>103404</v>
      </c>
      <c r="H356" t="s">
        <v>26</v>
      </c>
      <c r="I356" t="s">
        <v>36</v>
      </c>
      <c r="J356">
        <v>5</v>
      </c>
      <c r="K356" t="s">
        <v>17</v>
      </c>
      <c r="L356" t="s">
        <v>18</v>
      </c>
      <c r="M356">
        <f>YEAR(Scaleflow[[#This Row],[Signup_Date]])</f>
        <v>2025</v>
      </c>
      <c r="N356" t="str">
        <f>TEXT(Scaleflow[[#This Row],[Signup_Date]],"MMM")</f>
        <v>Apr</v>
      </c>
      <c r="O356" t="str">
        <f>IF(Scaleflow[[#This Row],[Monthly_Revenue]]=0,"Free","Paid")</f>
        <v>Paid</v>
      </c>
      <c r="P356">
        <f>YEAR(Scaleflow[[#This Row],[TransactionDate]])</f>
        <v>2025</v>
      </c>
      <c r="Q356">
        <f>MONTH(Scaleflow[[#This Row],[TransactionDate]])</f>
        <v>10</v>
      </c>
      <c r="R356" t="str">
        <f>TEXT(Scaleflow[[#This Row],[TransactionDate]],"MMM")</f>
        <v>Oct</v>
      </c>
    </row>
    <row r="357" spans="1:18" x14ac:dyDescent="0.3">
      <c r="A357" t="s">
        <v>391</v>
      </c>
      <c r="B357" s="1">
        <v>45494</v>
      </c>
      <c r="C357" s="1">
        <v>45888</v>
      </c>
      <c r="D357" t="s">
        <v>20</v>
      </c>
      <c r="E357" t="s">
        <v>33</v>
      </c>
      <c r="F357" t="s">
        <v>46</v>
      </c>
      <c r="G357" s="2">
        <v>32343</v>
      </c>
      <c r="H357" t="s">
        <v>22</v>
      </c>
      <c r="I357" t="s">
        <v>16</v>
      </c>
      <c r="J357">
        <v>1</v>
      </c>
      <c r="K357" t="s">
        <v>17</v>
      </c>
      <c r="L357" t="s">
        <v>18</v>
      </c>
      <c r="M357">
        <f>YEAR(Scaleflow[[#This Row],[Signup_Date]])</f>
        <v>2024</v>
      </c>
      <c r="N357" t="str">
        <f>TEXT(Scaleflow[[#This Row],[Signup_Date]],"MMM")</f>
        <v>Jul</v>
      </c>
      <c r="O357" t="str">
        <f>IF(Scaleflow[[#This Row],[Monthly_Revenue]]=0,"Free","Paid")</f>
        <v>Paid</v>
      </c>
      <c r="P357">
        <f>YEAR(Scaleflow[[#This Row],[TransactionDate]])</f>
        <v>2025</v>
      </c>
      <c r="Q357">
        <f>MONTH(Scaleflow[[#This Row],[TransactionDate]])</f>
        <v>8</v>
      </c>
      <c r="R357" t="str">
        <f>TEXT(Scaleflow[[#This Row],[TransactionDate]],"MMM")</f>
        <v>Aug</v>
      </c>
    </row>
    <row r="358" spans="1:18" x14ac:dyDescent="0.3">
      <c r="A358" t="s">
        <v>392</v>
      </c>
      <c r="B358" s="1">
        <v>45029</v>
      </c>
      <c r="C358" s="1">
        <v>45547</v>
      </c>
      <c r="D358" t="s">
        <v>24</v>
      </c>
      <c r="E358" t="s">
        <v>33</v>
      </c>
      <c r="F358" t="s">
        <v>46</v>
      </c>
      <c r="G358" s="2">
        <v>56496</v>
      </c>
      <c r="H358" t="s">
        <v>49</v>
      </c>
      <c r="I358" t="s">
        <v>31</v>
      </c>
      <c r="J358">
        <v>3</v>
      </c>
      <c r="K358" t="s">
        <v>18</v>
      </c>
      <c r="L358" t="s">
        <v>17</v>
      </c>
      <c r="M358">
        <f>YEAR(Scaleflow[[#This Row],[Signup_Date]])</f>
        <v>2023</v>
      </c>
      <c r="N358" t="str">
        <f>TEXT(Scaleflow[[#This Row],[Signup_Date]],"MMM")</f>
        <v>Apr</v>
      </c>
      <c r="O358" t="str">
        <f>IF(Scaleflow[[#This Row],[Monthly_Revenue]]=0,"Free","Paid")</f>
        <v>Paid</v>
      </c>
      <c r="P358">
        <f>YEAR(Scaleflow[[#This Row],[TransactionDate]])</f>
        <v>2024</v>
      </c>
      <c r="Q358">
        <f>MONTH(Scaleflow[[#This Row],[TransactionDate]])</f>
        <v>9</v>
      </c>
      <c r="R358" t="str">
        <f>TEXT(Scaleflow[[#This Row],[TransactionDate]],"MMM")</f>
        <v>Sep</v>
      </c>
    </row>
    <row r="359" spans="1:18" x14ac:dyDescent="0.3">
      <c r="A359" t="s">
        <v>393</v>
      </c>
      <c r="B359" s="1">
        <v>45154</v>
      </c>
      <c r="C359" s="1">
        <v>45476</v>
      </c>
      <c r="D359" t="s">
        <v>24</v>
      </c>
      <c r="E359" t="s">
        <v>13</v>
      </c>
      <c r="F359" t="s">
        <v>29</v>
      </c>
      <c r="G359" s="2">
        <v>13614</v>
      </c>
      <c r="H359" t="s">
        <v>22</v>
      </c>
      <c r="I359" t="s">
        <v>16</v>
      </c>
      <c r="J359">
        <v>4</v>
      </c>
      <c r="K359" t="s">
        <v>18</v>
      </c>
      <c r="L359" t="s">
        <v>17</v>
      </c>
      <c r="M359">
        <f>YEAR(Scaleflow[[#This Row],[Signup_Date]])</f>
        <v>2023</v>
      </c>
      <c r="N359" t="str">
        <f>TEXT(Scaleflow[[#This Row],[Signup_Date]],"MMM")</f>
        <v>Aug</v>
      </c>
      <c r="O359" t="str">
        <f>IF(Scaleflow[[#This Row],[Monthly_Revenue]]=0,"Free","Paid")</f>
        <v>Paid</v>
      </c>
      <c r="P359">
        <f>YEAR(Scaleflow[[#This Row],[TransactionDate]])</f>
        <v>2024</v>
      </c>
      <c r="Q359">
        <f>MONTH(Scaleflow[[#This Row],[TransactionDate]])</f>
        <v>7</v>
      </c>
      <c r="R359" t="str">
        <f>TEXT(Scaleflow[[#This Row],[TransactionDate]],"MMM")</f>
        <v>Jul</v>
      </c>
    </row>
    <row r="360" spans="1:18" x14ac:dyDescent="0.3">
      <c r="A360" t="s">
        <v>394</v>
      </c>
      <c r="B360" s="1">
        <v>45240</v>
      </c>
      <c r="C360" s="1">
        <v>45775</v>
      </c>
      <c r="D360" t="s">
        <v>20</v>
      </c>
      <c r="E360" t="s">
        <v>33</v>
      </c>
      <c r="F360" t="s">
        <v>14</v>
      </c>
      <c r="G360" s="2">
        <v>0</v>
      </c>
      <c r="H360" t="s">
        <v>22</v>
      </c>
      <c r="I360" t="s">
        <v>16</v>
      </c>
      <c r="J360">
        <v>3</v>
      </c>
      <c r="K360" t="s">
        <v>18</v>
      </c>
      <c r="L360" t="s">
        <v>17</v>
      </c>
      <c r="M360">
        <f>YEAR(Scaleflow[[#This Row],[Signup_Date]])</f>
        <v>2023</v>
      </c>
      <c r="N360" t="str">
        <f>TEXT(Scaleflow[[#This Row],[Signup_Date]],"MMM")</f>
        <v>Nov</v>
      </c>
      <c r="O360" t="str">
        <f>IF(Scaleflow[[#This Row],[Monthly_Revenue]]=0,"Free","Paid")</f>
        <v>Free</v>
      </c>
      <c r="P360">
        <f>YEAR(Scaleflow[[#This Row],[TransactionDate]])</f>
        <v>2025</v>
      </c>
      <c r="Q360">
        <f>MONTH(Scaleflow[[#This Row],[TransactionDate]])</f>
        <v>4</v>
      </c>
      <c r="R360" t="str">
        <f>TEXT(Scaleflow[[#This Row],[TransactionDate]],"MMM")</f>
        <v>Apr</v>
      </c>
    </row>
    <row r="361" spans="1:18" x14ac:dyDescent="0.3">
      <c r="A361" t="s">
        <v>395</v>
      </c>
      <c r="B361" s="1">
        <v>45328</v>
      </c>
      <c r="C361" s="1">
        <v>45419</v>
      </c>
      <c r="D361" t="s">
        <v>12</v>
      </c>
      <c r="E361" t="s">
        <v>21</v>
      </c>
      <c r="F361" t="s">
        <v>12</v>
      </c>
      <c r="G361" s="2">
        <v>177991</v>
      </c>
      <c r="H361" t="s">
        <v>30</v>
      </c>
      <c r="I361" t="s">
        <v>27</v>
      </c>
      <c r="J361">
        <v>0</v>
      </c>
      <c r="K361" t="s">
        <v>17</v>
      </c>
      <c r="L361" t="s">
        <v>18</v>
      </c>
      <c r="M361">
        <f>YEAR(Scaleflow[[#This Row],[Signup_Date]])</f>
        <v>2024</v>
      </c>
      <c r="N361" t="str">
        <f>TEXT(Scaleflow[[#This Row],[Signup_Date]],"MMM")</f>
        <v>Feb</v>
      </c>
      <c r="O361" t="str">
        <f>IF(Scaleflow[[#This Row],[Monthly_Revenue]]=0,"Free","Paid")</f>
        <v>Paid</v>
      </c>
      <c r="P361">
        <f>YEAR(Scaleflow[[#This Row],[TransactionDate]])</f>
        <v>2024</v>
      </c>
      <c r="Q361">
        <f>MONTH(Scaleflow[[#This Row],[TransactionDate]])</f>
        <v>5</v>
      </c>
      <c r="R361" t="str">
        <f>TEXT(Scaleflow[[#This Row],[TransactionDate]],"MMM")</f>
        <v>May</v>
      </c>
    </row>
    <row r="362" spans="1:18" x14ac:dyDescent="0.3">
      <c r="A362" t="s">
        <v>396</v>
      </c>
      <c r="B362" s="1">
        <v>45540</v>
      </c>
      <c r="C362" s="1">
        <v>45708</v>
      </c>
      <c r="D362" t="s">
        <v>20</v>
      </c>
      <c r="E362" t="s">
        <v>41</v>
      </c>
      <c r="F362" t="s">
        <v>46</v>
      </c>
      <c r="G362" s="2">
        <v>36272</v>
      </c>
      <c r="H362" t="s">
        <v>26</v>
      </c>
      <c r="I362" t="s">
        <v>31</v>
      </c>
      <c r="J362">
        <v>2</v>
      </c>
      <c r="K362" t="s">
        <v>18</v>
      </c>
      <c r="L362" t="s">
        <v>17</v>
      </c>
      <c r="M362">
        <f>YEAR(Scaleflow[[#This Row],[Signup_Date]])</f>
        <v>2024</v>
      </c>
      <c r="N362" t="str">
        <f>TEXT(Scaleflow[[#This Row],[Signup_Date]],"MMM")</f>
        <v>Sep</v>
      </c>
      <c r="O362" t="str">
        <f>IF(Scaleflow[[#This Row],[Monthly_Revenue]]=0,"Free","Paid")</f>
        <v>Paid</v>
      </c>
      <c r="P362">
        <f>YEAR(Scaleflow[[#This Row],[TransactionDate]])</f>
        <v>2025</v>
      </c>
      <c r="Q362">
        <f>MONTH(Scaleflow[[#This Row],[TransactionDate]])</f>
        <v>2</v>
      </c>
      <c r="R362" t="str">
        <f>TEXT(Scaleflow[[#This Row],[TransactionDate]],"MMM")</f>
        <v>Feb</v>
      </c>
    </row>
    <row r="363" spans="1:18" x14ac:dyDescent="0.3">
      <c r="A363" t="s">
        <v>397</v>
      </c>
      <c r="B363" s="1">
        <v>45752</v>
      </c>
      <c r="C363" s="1">
        <v>46010</v>
      </c>
      <c r="D363" t="s">
        <v>20</v>
      </c>
      <c r="E363" t="s">
        <v>33</v>
      </c>
      <c r="F363" t="s">
        <v>14</v>
      </c>
      <c r="G363" s="2">
        <v>0</v>
      </c>
      <c r="H363" t="s">
        <v>26</v>
      </c>
      <c r="I363" t="s">
        <v>27</v>
      </c>
      <c r="J363">
        <v>4</v>
      </c>
      <c r="K363" t="s">
        <v>18</v>
      </c>
      <c r="L363" t="s">
        <v>17</v>
      </c>
      <c r="M363">
        <f>YEAR(Scaleflow[[#This Row],[Signup_Date]])</f>
        <v>2025</v>
      </c>
      <c r="N363" t="str">
        <f>TEXT(Scaleflow[[#This Row],[Signup_Date]],"MMM")</f>
        <v>Apr</v>
      </c>
      <c r="O363" t="str">
        <f>IF(Scaleflow[[#This Row],[Monthly_Revenue]]=0,"Free","Paid")</f>
        <v>Free</v>
      </c>
      <c r="P363">
        <f>YEAR(Scaleflow[[#This Row],[TransactionDate]])</f>
        <v>2025</v>
      </c>
      <c r="Q363">
        <f>MONTH(Scaleflow[[#This Row],[TransactionDate]])</f>
        <v>12</v>
      </c>
      <c r="R363" t="str">
        <f>TEXT(Scaleflow[[#This Row],[TransactionDate]],"MMM")</f>
        <v>Dec</v>
      </c>
    </row>
    <row r="364" spans="1:18" x14ac:dyDescent="0.3">
      <c r="A364" t="s">
        <v>398</v>
      </c>
      <c r="B364" s="1">
        <v>44996</v>
      </c>
      <c r="C364" s="1">
        <v>45662</v>
      </c>
      <c r="D364" t="s">
        <v>12</v>
      </c>
      <c r="E364" t="s">
        <v>21</v>
      </c>
      <c r="F364" t="s">
        <v>12</v>
      </c>
      <c r="G364" s="2">
        <v>126133</v>
      </c>
      <c r="H364" t="s">
        <v>34</v>
      </c>
      <c r="I364" t="s">
        <v>42</v>
      </c>
      <c r="J364">
        <v>2</v>
      </c>
      <c r="K364" t="s">
        <v>18</v>
      </c>
      <c r="L364" t="s">
        <v>17</v>
      </c>
      <c r="M364">
        <f>YEAR(Scaleflow[[#This Row],[Signup_Date]])</f>
        <v>2023</v>
      </c>
      <c r="N364" t="str">
        <f>TEXT(Scaleflow[[#This Row],[Signup_Date]],"MMM")</f>
        <v>Mar</v>
      </c>
      <c r="O364" t="str">
        <f>IF(Scaleflow[[#This Row],[Monthly_Revenue]]=0,"Free","Paid")</f>
        <v>Paid</v>
      </c>
      <c r="P364">
        <f>YEAR(Scaleflow[[#This Row],[TransactionDate]])</f>
        <v>2025</v>
      </c>
      <c r="Q364">
        <f>MONTH(Scaleflow[[#This Row],[TransactionDate]])</f>
        <v>1</v>
      </c>
      <c r="R364" t="str">
        <f>TEXT(Scaleflow[[#This Row],[TransactionDate]],"MMM")</f>
        <v>Jan</v>
      </c>
    </row>
    <row r="365" spans="1:18" x14ac:dyDescent="0.3">
      <c r="A365" t="s">
        <v>399</v>
      </c>
      <c r="B365" s="1">
        <v>45720</v>
      </c>
      <c r="C365" s="1">
        <v>45970</v>
      </c>
      <c r="D365" t="s">
        <v>24</v>
      </c>
      <c r="E365" t="s">
        <v>41</v>
      </c>
      <c r="F365" t="s">
        <v>46</v>
      </c>
      <c r="G365" s="2">
        <v>28022</v>
      </c>
      <c r="H365" t="s">
        <v>34</v>
      </c>
      <c r="I365" t="s">
        <v>36</v>
      </c>
      <c r="J365">
        <v>4</v>
      </c>
      <c r="K365" t="s">
        <v>18</v>
      </c>
      <c r="L365" t="s">
        <v>17</v>
      </c>
      <c r="M365">
        <f>YEAR(Scaleflow[[#This Row],[Signup_Date]])</f>
        <v>2025</v>
      </c>
      <c r="N365" t="str">
        <f>TEXT(Scaleflow[[#This Row],[Signup_Date]],"MMM")</f>
        <v>Mar</v>
      </c>
      <c r="O365" t="str">
        <f>IF(Scaleflow[[#This Row],[Monthly_Revenue]]=0,"Free","Paid")</f>
        <v>Paid</v>
      </c>
      <c r="P365">
        <f>YEAR(Scaleflow[[#This Row],[TransactionDate]])</f>
        <v>2025</v>
      </c>
      <c r="Q365">
        <f>MONTH(Scaleflow[[#This Row],[TransactionDate]])</f>
        <v>11</v>
      </c>
      <c r="R365" t="str">
        <f>TEXT(Scaleflow[[#This Row],[TransactionDate]],"MMM")</f>
        <v>Nov</v>
      </c>
    </row>
    <row r="366" spans="1:18" x14ac:dyDescent="0.3">
      <c r="A366" t="s">
        <v>400</v>
      </c>
      <c r="B366" s="1">
        <v>45048</v>
      </c>
      <c r="C366" s="1">
        <v>45076</v>
      </c>
      <c r="D366" t="s">
        <v>24</v>
      </c>
      <c r="E366" t="s">
        <v>25</v>
      </c>
      <c r="F366" t="s">
        <v>46</v>
      </c>
      <c r="G366" s="2">
        <v>57382</v>
      </c>
      <c r="H366" t="s">
        <v>34</v>
      </c>
      <c r="I366" t="s">
        <v>16</v>
      </c>
      <c r="J366">
        <v>1</v>
      </c>
      <c r="K366" t="s">
        <v>18</v>
      </c>
      <c r="L366" t="s">
        <v>17</v>
      </c>
      <c r="M366">
        <f>YEAR(Scaleflow[[#This Row],[Signup_Date]])</f>
        <v>2023</v>
      </c>
      <c r="N366" t="str">
        <f>TEXT(Scaleflow[[#This Row],[Signup_Date]],"MMM")</f>
        <v>May</v>
      </c>
      <c r="O366" t="str">
        <f>IF(Scaleflow[[#This Row],[Monthly_Revenue]]=0,"Free","Paid")</f>
        <v>Paid</v>
      </c>
      <c r="P366">
        <f>YEAR(Scaleflow[[#This Row],[TransactionDate]])</f>
        <v>2023</v>
      </c>
      <c r="Q366">
        <f>MONTH(Scaleflow[[#This Row],[TransactionDate]])</f>
        <v>5</v>
      </c>
      <c r="R366" t="str">
        <f>TEXT(Scaleflow[[#This Row],[TransactionDate]],"MMM")</f>
        <v>May</v>
      </c>
    </row>
    <row r="367" spans="1:18" x14ac:dyDescent="0.3">
      <c r="A367" t="s">
        <v>401</v>
      </c>
      <c r="B367" s="1">
        <v>45266</v>
      </c>
      <c r="C367" s="1">
        <v>45506</v>
      </c>
      <c r="D367" t="s">
        <v>24</v>
      </c>
      <c r="E367" t="s">
        <v>13</v>
      </c>
      <c r="F367" t="s">
        <v>29</v>
      </c>
      <c r="G367" s="2">
        <v>11747</v>
      </c>
      <c r="H367" t="s">
        <v>22</v>
      </c>
      <c r="I367" t="s">
        <v>27</v>
      </c>
      <c r="J367">
        <v>2</v>
      </c>
      <c r="K367" t="s">
        <v>18</v>
      </c>
      <c r="L367" t="s">
        <v>17</v>
      </c>
      <c r="M367">
        <f>YEAR(Scaleflow[[#This Row],[Signup_Date]])</f>
        <v>2023</v>
      </c>
      <c r="N367" t="str">
        <f>TEXT(Scaleflow[[#This Row],[Signup_Date]],"MMM")</f>
        <v>Dec</v>
      </c>
      <c r="O367" t="str">
        <f>IF(Scaleflow[[#This Row],[Monthly_Revenue]]=0,"Free","Paid")</f>
        <v>Paid</v>
      </c>
      <c r="P367">
        <f>YEAR(Scaleflow[[#This Row],[TransactionDate]])</f>
        <v>2024</v>
      </c>
      <c r="Q367">
        <f>MONTH(Scaleflow[[#This Row],[TransactionDate]])</f>
        <v>8</v>
      </c>
      <c r="R367" t="str">
        <f>TEXT(Scaleflow[[#This Row],[TransactionDate]],"MMM")</f>
        <v>Aug</v>
      </c>
    </row>
    <row r="368" spans="1:18" x14ac:dyDescent="0.3">
      <c r="A368" t="s">
        <v>402</v>
      </c>
      <c r="B368" s="1">
        <v>45537</v>
      </c>
      <c r="C368" s="1">
        <v>45848</v>
      </c>
      <c r="D368" t="s">
        <v>20</v>
      </c>
      <c r="E368" t="s">
        <v>25</v>
      </c>
      <c r="F368" t="s">
        <v>14</v>
      </c>
      <c r="G368" s="2">
        <v>0</v>
      </c>
      <c r="H368" t="s">
        <v>49</v>
      </c>
      <c r="I368" t="s">
        <v>42</v>
      </c>
      <c r="J368">
        <v>5</v>
      </c>
      <c r="K368" t="s">
        <v>18</v>
      </c>
      <c r="L368" t="s">
        <v>17</v>
      </c>
      <c r="M368">
        <f>YEAR(Scaleflow[[#This Row],[Signup_Date]])</f>
        <v>2024</v>
      </c>
      <c r="N368" t="str">
        <f>TEXT(Scaleflow[[#This Row],[Signup_Date]],"MMM")</f>
        <v>Sep</v>
      </c>
      <c r="O368" t="str">
        <f>IF(Scaleflow[[#This Row],[Monthly_Revenue]]=0,"Free","Paid")</f>
        <v>Free</v>
      </c>
      <c r="P368">
        <f>YEAR(Scaleflow[[#This Row],[TransactionDate]])</f>
        <v>2025</v>
      </c>
      <c r="Q368">
        <f>MONTH(Scaleflow[[#This Row],[TransactionDate]])</f>
        <v>7</v>
      </c>
      <c r="R368" t="str">
        <f>TEXT(Scaleflow[[#This Row],[TransactionDate]],"MMM")</f>
        <v>Jul</v>
      </c>
    </row>
    <row r="369" spans="1:18" x14ac:dyDescent="0.3">
      <c r="A369" t="s">
        <v>403</v>
      </c>
      <c r="B369" s="1">
        <v>45413</v>
      </c>
      <c r="C369" s="1">
        <v>45724</v>
      </c>
      <c r="D369" t="s">
        <v>12</v>
      </c>
      <c r="E369" t="s">
        <v>21</v>
      </c>
      <c r="F369" t="s">
        <v>14</v>
      </c>
      <c r="G369" s="2">
        <v>0</v>
      </c>
      <c r="H369" t="s">
        <v>15</v>
      </c>
      <c r="I369" t="s">
        <v>36</v>
      </c>
      <c r="J369">
        <v>2</v>
      </c>
      <c r="K369" t="s">
        <v>18</v>
      </c>
      <c r="L369" t="s">
        <v>17</v>
      </c>
      <c r="M369">
        <f>YEAR(Scaleflow[[#This Row],[Signup_Date]])</f>
        <v>2024</v>
      </c>
      <c r="N369" t="str">
        <f>TEXT(Scaleflow[[#This Row],[Signup_Date]],"MMM")</f>
        <v>May</v>
      </c>
      <c r="O369" t="str">
        <f>IF(Scaleflow[[#This Row],[Monthly_Revenue]]=0,"Free","Paid")</f>
        <v>Free</v>
      </c>
      <c r="P369">
        <f>YEAR(Scaleflow[[#This Row],[TransactionDate]])</f>
        <v>2025</v>
      </c>
      <c r="Q369">
        <f>MONTH(Scaleflow[[#This Row],[TransactionDate]])</f>
        <v>3</v>
      </c>
      <c r="R369" t="str">
        <f>TEXT(Scaleflow[[#This Row],[TransactionDate]],"MMM")</f>
        <v>Mar</v>
      </c>
    </row>
    <row r="370" spans="1:18" x14ac:dyDescent="0.3">
      <c r="A370" t="s">
        <v>404</v>
      </c>
      <c r="B370" s="1">
        <v>45871</v>
      </c>
      <c r="C370" s="1">
        <v>45969</v>
      </c>
      <c r="D370" t="s">
        <v>24</v>
      </c>
      <c r="E370" t="s">
        <v>21</v>
      </c>
      <c r="F370" t="s">
        <v>12</v>
      </c>
      <c r="G370" s="2">
        <v>209930</v>
      </c>
      <c r="H370" t="s">
        <v>22</v>
      </c>
      <c r="I370" t="s">
        <v>36</v>
      </c>
      <c r="J370">
        <v>1</v>
      </c>
      <c r="K370" t="s">
        <v>18</v>
      </c>
      <c r="L370" t="s">
        <v>17</v>
      </c>
      <c r="M370">
        <f>YEAR(Scaleflow[[#This Row],[Signup_Date]])</f>
        <v>2025</v>
      </c>
      <c r="N370" t="str">
        <f>TEXT(Scaleflow[[#This Row],[Signup_Date]],"MMM")</f>
        <v>Aug</v>
      </c>
      <c r="O370" t="str">
        <f>IF(Scaleflow[[#This Row],[Monthly_Revenue]]=0,"Free","Paid")</f>
        <v>Paid</v>
      </c>
      <c r="P370">
        <f>YEAR(Scaleflow[[#This Row],[TransactionDate]])</f>
        <v>2025</v>
      </c>
      <c r="Q370">
        <f>MONTH(Scaleflow[[#This Row],[TransactionDate]])</f>
        <v>11</v>
      </c>
      <c r="R370" t="str">
        <f>TEXT(Scaleflow[[#This Row],[TransactionDate]],"MMM")</f>
        <v>Nov</v>
      </c>
    </row>
    <row r="371" spans="1:18" x14ac:dyDescent="0.3">
      <c r="A371" t="s">
        <v>405</v>
      </c>
      <c r="B371" s="1">
        <v>45581</v>
      </c>
      <c r="C371" s="1">
        <v>45746</v>
      </c>
      <c r="D371" t="s">
        <v>20</v>
      </c>
      <c r="E371" t="s">
        <v>39</v>
      </c>
      <c r="F371" t="s">
        <v>12</v>
      </c>
      <c r="G371" s="2">
        <v>181067</v>
      </c>
      <c r="H371" t="s">
        <v>34</v>
      </c>
      <c r="I371" t="s">
        <v>31</v>
      </c>
      <c r="J371">
        <v>4</v>
      </c>
      <c r="K371" t="s">
        <v>17</v>
      </c>
      <c r="L371" t="s">
        <v>18</v>
      </c>
      <c r="M371">
        <f>YEAR(Scaleflow[[#This Row],[Signup_Date]])</f>
        <v>2024</v>
      </c>
      <c r="N371" t="str">
        <f>TEXT(Scaleflow[[#This Row],[Signup_Date]],"MMM")</f>
        <v>Oct</v>
      </c>
      <c r="O371" t="str">
        <f>IF(Scaleflow[[#This Row],[Monthly_Revenue]]=0,"Free","Paid")</f>
        <v>Paid</v>
      </c>
      <c r="P371">
        <f>YEAR(Scaleflow[[#This Row],[TransactionDate]])</f>
        <v>2025</v>
      </c>
      <c r="Q371">
        <f>MONTH(Scaleflow[[#This Row],[TransactionDate]])</f>
        <v>3</v>
      </c>
      <c r="R371" t="str">
        <f>TEXT(Scaleflow[[#This Row],[TransactionDate]],"MMM")</f>
        <v>Mar</v>
      </c>
    </row>
    <row r="372" spans="1:18" x14ac:dyDescent="0.3">
      <c r="A372" t="s">
        <v>406</v>
      </c>
      <c r="B372" s="1">
        <v>45196</v>
      </c>
      <c r="C372" s="1">
        <v>45682</v>
      </c>
      <c r="D372" t="s">
        <v>12</v>
      </c>
      <c r="E372" t="s">
        <v>21</v>
      </c>
      <c r="F372" t="s">
        <v>29</v>
      </c>
      <c r="G372" s="2">
        <v>9591</v>
      </c>
      <c r="H372" t="s">
        <v>49</v>
      </c>
      <c r="I372" t="s">
        <v>27</v>
      </c>
      <c r="J372">
        <v>4</v>
      </c>
      <c r="K372" t="s">
        <v>18</v>
      </c>
      <c r="L372" t="s">
        <v>17</v>
      </c>
      <c r="M372">
        <f>YEAR(Scaleflow[[#This Row],[Signup_Date]])</f>
        <v>2023</v>
      </c>
      <c r="N372" t="str">
        <f>TEXT(Scaleflow[[#This Row],[Signup_Date]],"MMM")</f>
        <v>Sep</v>
      </c>
      <c r="O372" t="str">
        <f>IF(Scaleflow[[#This Row],[Monthly_Revenue]]=0,"Free","Paid")</f>
        <v>Paid</v>
      </c>
      <c r="P372">
        <f>YEAR(Scaleflow[[#This Row],[TransactionDate]])</f>
        <v>2025</v>
      </c>
      <c r="Q372">
        <f>MONTH(Scaleflow[[#This Row],[TransactionDate]])</f>
        <v>1</v>
      </c>
      <c r="R372" t="str">
        <f>TEXT(Scaleflow[[#This Row],[TransactionDate]],"MMM")</f>
        <v>Jan</v>
      </c>
    </row>
    <row r="373" spans="1:18" x14ac:dyDescent="0.3">
      <c r="A373" t="s">
        <v>407</v>
      </c>
      <c r="B373" s="1">
        <v>45566</v>
      </c>
      <c r="C373" s="1">
        <v>45705</v>
      </c>
      <c r="D373" t="s">
        <v>24</v>
      </c>
      <c r="E373" t="s">
        <v>21</v>
      </c>
      <c r="F373" t="s">
        <v>14</v>
      </c>
      <c r="G373" s="2">
        <v>0</v>
      </c>
      <c r="H373" t="s">
        <v>15</v>
      </c>
      <c r="I373" t="s">
        <v>36</v>
      </c>
      <c r="J373">
        <v>5</v>
      </c>
      <c r="K373" t="s">
        <v>18</v>
      </c>
      <c r="L373" t="s">
        <v>17</v>
      </c>
      <c r="M373">
        <f>YEAR(Scaleflow[[#This Row],[Signup_Date]])</f>
        <v>2024</v>
      </c>
      <c r="N373" t="str">
        <f>TEXT(Scaleflow[[#This Row],[Signup_Date]],"MMM")</f>
        <v>Oct</v>
      </c>
      <c r="O373" t="str">
        <f>IF(Scaleflow[[#This Row],[Monthly_Revenue]]=0,"Free","Paid")</f>
        <v>Free</v>
      </c>
      <c r="P373">
        <f>YEAR(Scaleflow[[#This Row],[TransactionDate]])</f>
        <v>2025</v>
      </c>
      <c r="Q373">
        <f>MONTH(Scaleflow[[#This Row],[TransactionDate]])</f>
        <v>2</v>
      </c>
      <c r="R373" t="str">
        <f>TEXT(Scaleflow[[#This Row],[TransactionDate]],"MMM")</f>
        <v>Feb</v>
      </c>
    </row>
    <row r="374" spans="1:18" x14ac:dyDescent="0.3">
      <c r="A374" t="s">
        <v>408</v>
      </c>
      <c r="B374" s="1">
        <v>45425</v>
      </c>
      <c r="C374" s="1">
        <v>45644</v>
      </c>
      <c r="D374" t="s">
        <v>24</v>
      </c>
      <c r="E374" t="s">
        <v>25</v>
      </c>
      <c r="F374" t="s">
        <v>14</v>
      </c>
      <c r="G374" s="2">
        <v>0</v>
      </c>
      <c r="H374" t="s">
        <v>26</v>
      </c>
      <c r="I374" t="s">
        <v>27</v>
      </c>
      <c r="J374">
        <v>5</v>
      </c>
      <c r="K374" t="s">
        <v>17</v>
      </c>
      <c r="L374" t="s">
        <v>18</v>
      </c>
      <c r="M374">
        <f>YEAR(Scaleflow[[#This Row],[Signup_Date]])</f>
        <v>2024</v>
      </c>
      <c r="N374" t="str">
        <f>TEXT(Scaleflow[[#This Row],[Signup_Date]],"MMM")</f>
        <v>May</v>
      </c>
      <c r="O374" t="str">
        <f>IF(Scaleflow[[#This Row],[Monthly_Revenue]]=0,"Free","Paid")</f>
        <v>Free</v>
      </c>
      <c r="P374">
        <f>YEAR(Scaleflow[[#This Row],[TransactionDate]])</f>
        <v>2024</v>
      </c>
      <c r="Q374">
        <f>MONTH(Scaleflow[[#This Row],[TransactionDate]])</f>
        <v>12</v>
      </c>
      <c r="R374" t="str">
        <f>TEXT(Scaleflow[[#This Row],[TransactionDate]],"MMM")</f>
        <v>Dec</v>
      </c>
    </row>
    <row r="375" spans="1:18" x14ac:dyDescent="0.3">
      <c r="A375" t="s">
        <v>409</v>
      </c>
      <c r="B375" s="1">
        <v>45857</v>
      </c>
      <c r="C375" s="1">
        <v>45891</v>
      </c>
      <c r="D375" t="s">
        <v>24</v>
      </c>
      <c r="E375" t="s">
        <v>25</v>
      </c>
      <c r="F375" t="s">
        <v>14</v>
      </c>
      <c r="G375" s="2">
        <v>0</v>
      </c>
      <c r="H375" t="s">
        <v>34</v>
      </c>
      <c r="I375" t="s">
        <v>31</v>
      </c>
      <c r="J375">
        <v>1</v>
      </c>
      <c r="K375" t="s">
        <v>17</v>
      </c>
      <c r="L375" t="s">
        <v>18</v>
      </c>
      <c r="M375">
        <f>YEAR(Scaleflow[[#This Row],[Signup_Date]])</f>
        <v>2025</v>
      </c>
      <c r="N375" t="str">
        <f>TEXT(Scaleflow[[#This Row],[Signup_Date]],"MMM")</f>
        <v>Jul</v>
      </c>
      <c r="O375" t="str">
        <f>IF(Scaleflow[[#This Row],[Monthly_Revenue]]=0,"Free","Paid")</f>
        <v>Free</v>
      </c>
      <c r="P375">
        <f>YEAR(Scaleflow[[#This Row],[TransactionDate]])</f>
        <v>2025</v>
      </c>
      <c r="Q375">
        <f>MONTH(Scaleflow[[#This Row],[TransactionDate]])</f>
        <v>8</v>
      </c>
      <c r="R375" t="str">
        <f>TEXT(Scaleflow[[#This Row],[TransactionDate]],"MMM")</f>
        <v>Aug</v>
      </c>
    </row>
    <row r="376" spans="1:18" x14ac:dyDescent="0.3">
      <c r="A376" t="s">
        <v>410</v>
      </c>
      <c r="B376" s="1">
        <v>45287</v>
      </c>
      <c r="C376" s="1">
        <v>45743</v>
      </c>
      <c r="D376" t="s">
        <v>20</v>
      </c>
      <c r="E376" t="s">
        <v>39</v>
      </c>
      <c r="F376" t="s">
        <v>46</v>
      </c>
      <c r="G376" s="2">
        <v>56739</v>
      </c>
      <c r="H376" t="s">
        <v>22</v>
      </c>
      <c r="I376" t="s">
        <v>31</v>
      </c>
      <c r="J376">
        <v>3</v>
      </c>
      <c r="K376" t="s">
        <v>17</v>
      </c>
      <c r="L376" t="s">
        <v>18</v>
      </c>
      <c r="M376">
        <f>YEAR(Scaleflow[[#This Row],[Signup_Date]])</f>
        <v>2023</v>
      </c>
      <c r="N376" t="str">
        <f>TEXT(Scaleflow[[#This Row],[Signup_Date]],"MMM")</f>
        <v>Dec</v>
      </c>
      <c r="O376" t="str">
        <f>IF(Scaleflow[[#This Row],[Monthly_Revenue]]=0,"Free","Paid")</f>
        <v>Paid</v>
      </c>
      <c r="P376">
        <f>YEAR(Scaleflow[[#This Row],[TransactionDate]])</f>
        <v>2025</v>
      </c>
      <c r="Q376">
        <f>MONTH(Scaleflow[[#This Row],[TransactionDate]])</f>
        <v>3</v>
      </c>
      <c r="R376" t="str">
        <f>TEXT(Scaleflow[[#This Row],[TransactionDate]],"MMM")</f>
        <v>Mar</v>
      </c>
    </row>
    <row r="377" spans="1:18" x14ac:dyDescent="0.3">
      <c r="A377" t="s">
        <v>411</v>
      </c>
      <c r="B377" s="1">
        <v>45601</v>
      </c>
      <c r="C377" s="1">
        <v>45883</v>
      </c>
      <c r="D377" t="s">
        <v>12</v>
      </c>
      <c r="E377" t="s">
        <v>33</v>
      </c>
      <c r="F377" t="s">
        <v>12</v>
      </c>
      <c r="G377" s="2">
        <v>140565</v>
      </c>
      <c r="H377" t="s">
        <v>15</v>
      </c>
      <c r="I377" t="s">
        <v>16</v>
      </c>
      <c r="J377">
        <v>0</v>
      </c>
      <c r="K377" t="s">
        <v>17</v>
      </c>
      <c r="L377" t="s">
        <v>18</v>
      </c>
      <c r="M377">
        <f>YEAR(Scaleflow[[#This Row],[Signup_Date]])</f>
        <v>2024</v>
      </c>
      <c r="N377" t="str">
        <f>TEXT(Scaleflow[[#This Row],[Signup_Date]],"MMM")</f>
        <v>Nov</v>
      </c>
      <c r="O377" t="str">
        <f>IF(Scaleflow[[#This Row],[Monthly_Revenue]]=0,"Free","Paid")</f>
        <v>Paid</v>
      </c>
      <c r="P377">
        <f>YEAR(Scaleflow[[#This Row],[TransactionDate]])</f>
        <v>2025</v>
      </c>
      <c r="Q377">
        <f>MONTH(Scaleflow[[#This Row],[TransactionDate]])</f>
        <v>8</v>
      </c>
      <c r="R377" t="str">
        <f>TEXT(Scaleflow[[#This Row],[TransactionDate]],"MMM")</f>
        <v>Aug</v>
      </c>
    </row>
    <row r="378" spans="1:18" x14ac:dyDescent="0.3">
      <c r="A378" t="s">
        <v>412</v>
      </c>
      <c r="B378" s="1">
        <v>45536</v>
      </c>
      <c r="C378" s="1">
        <v>45881</v>
      </c>
      <c r="D378" t="s">
        <v>12</v>
      </c>
      <c r="E378" t="s">
        <v>25</v>
      </c>
      <c r="F378" t="s">
        <v>46</v>
      </c>
      <c r="G378" s="2">
        <v>41408</v>
      </c>
      <c r="H378" t="s">
        <v>49</v>
      </c>
      <c r="I378" t="s">
        <v>36</v>
      </c>
      <c r="J378">
        <v>5</v>
      </c>
      <c r="K378" t="s">
        <v>18</v>
      </c>
      <c r="L378" t="s">
        <v>17</v>
      </c>
      <c r="M378">
        <f>YEAR(Scaleflow[[#This Row],[Signup_Date]])</f>
        <v>2024</v>
      </c>
      <c r="N378" t="str">
        <f>TEXT(Scaleflow[[#This Row],[Signup_Date]],"MMM")</f>
        <v>Sep</v>
      </c>
      <c r="O378" t="str">
        <f>IF(Scaleflow[[#This Row],[Monthly_Revenue]]=0,"Free","Paid")</f>
        <v>Paid</v>
      </c>
      <c r="P378">
        <f>YEAR(Scaleflow[[#This Row],[TransactionDate]])</f>
        <v>2025</v>
      </c>
      <c r="Q378">
        <f>MONTH(Scaleflow[[#This Row],[TransactionDate]])</f>
        <v>8</v>
      </c>
      <c r="R378" t="str">
        <f>TEXT(Scaleflow[[#This Row],[TransactionDate]],"MMM")</f>
        <v>Aug</v>
      </c>
    </row>
    <row r="379" spans="1:18" x14ac:dyDescent="0.3">
      <c r="A379" t="s">
        <v>413</v>
      </c>
      <c r="B379" s="1">
        <v>45254</v>
      </c>
      <c r="C379" s="1">
        <v>45686</v>
      </c>
      <c r="D379" t="s">
        <v>24</v>
      </c>
      <c r="E379" t="s">
        <v>39</v>
      </c>
      <c r="F379" t="s">
        <v>14</v>
      </c>
      <c r="G379" s="2">
        <v>0</v>
      </c>
      <c r="H379" t="s">
        <v>22</v>
      </c>
      <c r="I379" t="s">
        <v>36</v>
      </c>
      <c r="J379">
        <v>3</v>
      </c>
      <c r="K379" t="s">
        <v>18</v>
      </c>
      <c r="L379" t="s">
        <v>17</v>
      </c>
      <c r="M379">
        <f>YEAR(Scaleflow[[#This Row],[Signup_Date]])</f>
        <v>2023</v>
      </c>
      <c r="N379" t="str">
        <f>TEXT(Scaleflow[[#This Row],[Signup_Date]],"MMM")</f>
        <v>Nov</v>
      </c>
      <c r="O379" t="str">
        <f>IF(Scaleflow[[#This Row],[Monthly_Revenue]]=0,"Free","Paid")</f>
        <v>Free</v>
      </c>
      <c r="P379">
        <f>YEAR(Scaleflow[[#This Row],[TransactionDate]])</f>
        <v>2025</v>
      </c>
      <c r="Q379">
        <f>MONTH(Scaleflow[[#This Row],[TransactionDate]])</f>
        <v>1</v>
      </c>
      <c r="R379" t="str">
        <f>TEXT(Scaleflow[[#This Row],[TransactionDate]],"MMM")</f>
        <v>Jan</v>
      </c>
    </row>
    <row r="380" spans="1:18" x14ac:dyDescent="0.3">
      <c r="A380" t="s">
        <v>414</v>
      </c>
      <c r="B380" s="1">
        <v>44997</v>
      </c>
      <c r="C380" s="1">
        <v>45101</v>
      </c>
      <c r="D380" t="s">
        <v>24</v>
      </c>
      <c r="E380" t="s">
        <v>39</v>
      </c>
      <c r="F380" t="s">
        <v>14</v>
      </c>
      <c r="G380" s="2">
        <v>0</v>
      </c>
      <c r="H380" t="s">
        <v>30</v>
      </c>
      <c r="I380" t="s">
        <v>42</v>
      </c>
      <c r="J380">
        <v>4</v>
      </c>
      <c r="K380" t="s">
        <v>18</v>
      </c>
      <c r="L380" t="s">
        <v>17</v>
      </c>
      <c r="M380">
        <f>YEAR(Scaleflow[[#This Row],[Signup_Date]])</f>
        <v>2023</v>
      </c>
      <c r="N380" t="str">
        <f>TEXT(Scaleflow[[#This Row],[Signup_Date]],"MMM")</f>
        <v>Mar</v>
      </c>
      <c r="O380" t="str">
        <f>IF(Scaleflow[[#This Row],[Monthly_Revenue]]=0,"Free","Paid")</f>
        <v>Free</v>
      </c>
      <c r="P380">
        <f>YEAR(Scaleflow[[#This Row],[TransactionDate]])</f>
        <v>2023</v>
      </c>
      <c r="Q380">
        <f>MONTH(Scaleflow[[#This Row],[TransactionDate]])</f>
        <v>6</v>
      </c>
      <c r="R380" t="str">
        <f>TEXT(Scaleflow[[#This Row],[TransactionDate]],"MMM")</f>
        <v>Jun</v>
      </c>
    </row>
    <row r="381" spans="1:18" x14ac:dyDescent="0.3">
      <c r="A381" t="s">
        <v>415</v>
      </c>
      <c r="B381" s="1">
        <v>45430</v>
      </c>
      <c r="C381" s="1">
        <v>45713</v>
      </c>
      <c r="D381" t="s">
        <v>12</v>
      </c>
      <c r="E381" t="s">
        <v>33</v>
      </c>
      <c r="F381" t="s">
        <v>14</v>
      </c>
      <c r="G381" s="2">
        <v>0</v>
      </c>
      <c r="H381" t="s">
        <v>22</v>
      </c>
      <c r="I381" t="s">
        <v>31</v>
      </c>
      <c r="J381">
        <v>2</v>
      </c>
      <c r="K381" t="s">
        <v>17</v>
      </c>
      <c r="L381" t="s">
        <v>18</v>
      </c>
      <c r="M381">
        <f>YEAR(Scaleflow[[#This Row],[Signup_Date]])</f>
        <v>2024</v>
      </c>
      <c r="N381" t="str">
        <f>TEXT(Scaleflow[[#This Row],[Signup_Date]],"MMM")</f>
        <v>May</v>
      </c>
      <c r="O381" t="str">
        <f>IF(Scaleflow[[#This Row],[Monthly_Revenue]]=0,"Free","Paid")</f>
        <v>Free</v>
      </c>
      <c r="P381">
        <f>YEAR(Scaleflow[[#This Row],[TransactionDate]])</f>
        <v>2025</v>
      </c>
      <c r="Q381">
        <f>MONTH(Scaleflow[[#This Row],[TransactionDate]])</f>
        <v>2</v>
      </c>
      <c r="R381" t="str">
        <f>TEXT(Scaleflow[[#This Row],[TransactionDate]],"MMM")</f>
        <v>Feb</v>
      </c>
    </row>
    <row r="382" spans="1:18" x14ac:dyDescent="0.3">
      <c r="A382" t="s">
        <v>416</v>
      </c>
      <c r="B382" s="1">
        <v>45251</v>
      </c>
      <c r="C382" s="1">
        <v>45932</v>
      </c>
      <c r="D382" t="s">
        <v>24</v>
      </c>
      <c r="E382" t="s">
        <v>39</v>
      </c>
      <c r="F382" t="s">
        <v>46</v>
      </c>
      <c r="G382" s="2">
        <v>29866</v>
      </c>
      <c r="H382" t="s">
        <v>30</v>
      </c>
      <c r="I382" t="s">
        <v>27</v>
      </c>
      <c r="J382">
        <v>0</v>
      </c>
      <c r="K382" t="s">
        <v>17</v>
      </c>
      <c r="L382" t="s">
        <v>18</v>
      </c>
      <c r="M382">
        <f>YEAR(Scaleflow[[#This Row],[Signup_Date]])</f>
        <v>2023</v>
      </c>
      <c r="N382" t="str">
        <f>TEXT(Scaleflow[[#This Row],[Signup_Date]],"MMM")</f>
        <v>Nov</v>
      </c>
      <c r="O382" t="str">
        <f>IF(Scaleflow[[#This Row],[Monthly_Revenue]]=0,"Free","Paid")</f>
        <v>Paid</v>
      </c>
      <c r="P382">
        <f>YEAR(Scaleflow[[#This Row],[TransactionDate]])</f>
        <v>2025</v>
      </c>
      <c r="Q382">
        <f>MONTH(Scaleflow[[#This Row],[TransactionDate]])</f>
        <v>10</v>
      </c>
      <c r="R382" t="str">
        <f>TEXT(Scaleflow[[#This Row],[TransactionDate]],"MMM")</f>
        <v>Oct</v>
      </c>
    </row>
    <row r="383" spans="1:18" x14ac:dyDescent="0.3">
      <c r="A383" t="s">
        <v>417</v>
      </c>
      <c r="B383" s="1">
        <v>45647</v>
      </c>
      <c r="C383" s="1">
        <v>45755</v>
      </c>
      <c r="D383" t="s">
        <v>12</v>
      </c>
      <c r="E383" t="s">
        <v>25</v>
      </c>
      <c r="F383" t="s">
        <v>12</v>
      </c>
      <c r="G383" s="2">
        <v>214757</v>
      </c>
      <c r="H383" t="s">
        <v>26</v>
      </c>
      <c r="I383" t="s">
        <v>27</v>
      </c>
      <c r="J383">
        <v>0</v>
      </c>
      <c r="K383" t="s">
        <v>18</v>
      </c>
      <c r="L383" t="s">
        <v>17</v>
      </c>
      <c r="M383">
        <f>YEAR(Scaleflow[[#This Row],[Signup_Date]])</f>
        <v>2024</v>
      </c>
      <c r="N383" t="str">
        <f>TEXT(Scaleflow[[#This Row],[Signup_Date]],"MMM")</f>
        <v>Dec</v>
      </c>
      <c r="O383" t="str">
        <f>IF(Scaleflow[[#This Row],[Monthly_Revenue]]=0,"Free","Paid")</f>
        <v>Paid</v>
      </c>
      <c r="P383">
        <f>YEAR(Scaleflow[[#This Row],[TransactionDate]])</f>
        <v>2025</v>
      </c>
      <c r="Q383">
        <f>MONTH(Scaleflow[[#This Row],[TransactionDate]])</f>
        <v>4</v>
      </c>
      <c r="R383" t="str">
        <f>TEXT(Scaleflow[[#This Row],[TransactionDate]],"MMM")</f>
        <v>Apr</v>
      </c>
    </row>
    <row r="384" spans="1:18" x14ac:dyDescent="0.3">
      <c r="A384" t="s">
        <v>418</v>
      </c>
      <c r="B384" s="1">
        <v>45107</v>
      </c>
      <c r="C384" s="1">
        <v>45342</v>
      </c>
      <c r="D384" t="s">
        <v>24</v>
      </c>
      <c r="E384" t="s">
        <v>33</v>
      </c>
      <c r="F384" t="s">
        <v>29</v>
      </c>
      <c r="G384" s="2">
        <v>13267</v>
      </c>
      <c r="H384" t="s">
        <v>49</v>
      </c>
      <c r="I384" t="s">
        <v>16</v>
      </c>
      <c r="J384">
        <v>5</v>
      </c>
      <c r="K384" t="s">
        <v>18</v>
      </c>
      <c r="L384" t="s">
        <v>17</v>
      </c>
      <c r="M384">
        <f>YEAR(Scaleflow[[#This Row],[Signup_Date]])</f>
        <v>2023</v>
      </c>
      <c r="N384" t="str">
        <f>TEXT(Scaleflow[[#This Row],[Signup_Date]],"MMM")</f>
        <v>Jun</v>
      </c>
      <c r="O384" t="str">
        <f>IF(Scaleflow[[#This Row],[Monthly_Revenue]]=0,"Free","Paid")</f>
        <v>Paid</v>
      </c>
      <c r="P384">
        <f>YEAR(Scaleflow[[#This Row],[TransactionDate]])</f>
        <v>2024</v>
      </c>
      <c r="Q384">
        <f>MONTH(Scaleflow[[#This Row],[TransactionDate]])</f>
        <v>2</v>
      </c>
      <c r="R384" t="str">
        <f>TEXT(Scaleflow[[#This Row],[TransactionDate]],"MMM")</f>
        <v>Feb</v>
      </c>
    </row>
    <row r="385" spans="1:18" x14ac:dyDescent="0.3">
      <c r="A385" t="s">
        <v>419</v>
      </c>
      <c r="B385" s="1">
        <v>45089</v>
      </c>
      <c r="C385" s="1">
        <v>45644</v>
      </c>
      <c r="D385" t="s">
        <v>12</v>
      </c>
      <c r="E385" t="s">
        <v>39</v>
      </c>
      <c r="F385" t="s">
        <v>12</v>
      </c>
      <c r="G385" s="2">
        <v>240026</v>
      </c>
      <c r="H385" t="s">
        <v>34</v>
      </c>
      <c r="I385" t="s">
        <v>31</v>
      </c>
      <c r="J385">
        <v>2</v>
      </c>
      <c r="K385" t="s">
        <v>18</v>
      </c>
      <c r="L385" t="s">
        <v>17</v>
      </c>
      <c r="M385">
        <f>YEAR(Scaleflow[[#This Row],[Signup_Date]])</f>
        <v>2023</v>
      </c>
      <c r="N385" t="str">
        <f>TEXT(Scaleflow[[#This Row],[Signup_Date]],"MMM")</f>
        <v>Jun</v>
      </c>
      <c r="O385" t="str">
        <f>IF(Scaleflow[[#This Row],[Monthly_Revenue]]=0,"Free","Paid")</f>
        <v>Paid</v>
      </c>
      <c r="P385">
        <f>YEAR(Scaleflow[[#This Row],[TransactionDate]])</f>
        <v>2024</v>
      </c>
      <c r="Q385">
        <f>MONTH(Scaleflow[[#This Row],[TransactionDate]])</f>
        <v>12</v>
      </c>
      <c r="R385" t="str">
        <f>TEXT(Scaleflow[[#This Row],[TransactionDate]],"MMM")</f>
        <v>Dec</v>
      </c>
    </row>
    <row r="386" spans="1:18" x14ac:dyDescent="0.3">
      <c r="A386" t="s">
        <v>420</v>
      </c>
      <c r="B386" s="1">
        <v>45729</v>
      </c>
      <c r="C386" s="1">
        <v>45730</v>
      </c>
      <c r="D386" t="s">
        <v>12</v>
      </c>
      <c r="E386" t="s">
        <v>33</v>
      </c>
      <c r="F386" t="s">
        <v>29</v>
      </c>
      <c r="G386" s="2">
        <v>16041</v>
      </c>
      <c r="H386" t="s">
        <v>26</v>
      </c>
      <c r="I386" t="s">
        <v>31</v>
      </c>
      <c r="J386">
        <v>1</v>
      </c>
      <c r="K386" t="s">
        <v>18</v>
      </c>
      <c r="L386" t="s">
        <v>17</v>
      </c>
      <c r="M386">
        <f>YEAR(Scaleflow[[#This Row],[Signup_Date]])</f>
        <v>2025</v>
      </c>
      <c r="N386" t="str">
        <f>TEXT(Scaleflow[[#This Row],[Signup_Date]],"MMM")</f>
        <v>Mar</v>
      </c>
      <c r="O386" t="str">
        <f>IF(Scaleflow[[#This Row],[Monthly_Revenue]]=0,"Free","Paid")</f>
        <v>Paid</v>
      </c>
      <c r="P386">
        <f>YEAR(Scaleflow[[#This Row],[TransactionDate]])</f>
        <v>2025</v>
      </c>
      <c r="Q386">
        <f>MONTH(Scaleflow[[#This Row],[TransactionDate]])</f>
        <v>3</v>
      </c>
      <c r="R386" t="str">
        <f>TEXT(Scaleflow[[#This Row],[TransactionDate]],"MMM")</f>
        <v>Mar</v>
      </c>
    </row>
    <row r="387" spans="1:18" x14ac:dyDescent="0.3">
      <c r="A387" t="s">
        <v>421</v>
      </c>
      <c r="B387" s="1">
        <v>45660</v>
      </c>
      <c r="C387" s="1">
        <v>45740</v>
      </c>
      <c r="D387" t="s">
        <v>24</v>
      </c>
      <c r="E387" t="s">
        <v>21</v>
      </c>
      <c r="F387" t="s">
        <v>29</v>
      </c>
      <c r="G387" s="2">
        <v>8123</v>
      </c>
      <c r="H387" t="s">
        <v>34</v>
      </c>
      <c r="I387" t="s">
        <v>42</v>
      </c>
      <c r="J387">
        <v>1</v>
      </c>
      <c r="K387" t="s">
        <v>18</v>
      </c>
      <c r="L387" t="s">
        <v>17</v>
      </c>
      <c r="M387">
        <f>YEAR(Scaleflow[[#This Row],[Signup_Date]])</f>
        <v>2025</v>
      </c>
      <c r="N387" t="str">
        <f>TEXT(Scaleflow[[#This Row],[Signup_Date]],"MMM")</f>
        <v>Jan</v>
      </c>
      <c r="O387" t="str">
        <f>IF(Scaleflow[[#This Row],[Monthly_Revenue]]=0,"Free","Paid")</f>
        <v>Paid</v>
      </c>
      <c r="P387">
        <f>YEAR(Scaleflow[[#This Row],[TransactionDate]])</f>
        <v>2025</v>
      </c>
      <c r="Q387">
        <f>MONTH(Scaleflow[[#This Row],[TransactionDate]])</f>
        <v>3</v>
      </c>
      <c r="R387" t="str">
        <f>TEXT(Scaleflow[[#This Row],[TransactionDate]],"MMM")</f>
        <v>Mar</v>
      </c>
    </row>
    <row r="388" spans="1:18" x14ac:dyDescent="0.3">
      <c r="A388" t="s">
        <v>422</v>
      </c>
      <c r="B388" s="1">
        <v>45745</v>
      </c>
      <c r="C388" s="1">
        <v>45847</v>
      </c>
      <c r="D388" t="s">
        <v>20</v>
      </c>
      <c r="E388" t="s">
        <v>13</v>
      </c>
      <c r="F388" t="s">
        <v>12</v>
      </c>
      <c r="G388" s="2">
        <v>167110</v>
      </c>
      <c r="H388" t="s">
        <v>49</v>
      </c>
      <c r="I388" t="s">
        <v>27</v>
      </c>
      <c r="J388">
        <v>2</v>
      </c>
      <c r="K388" t="s">
        <v>18</v>
      </c>
      <c r="L388" t="s">
        <v>17</v>
      </c>
      <c r="M388">
        <f>YEAR(Scaleflow[[#This Row],[Signup_Date]])</f>
        <v>2025</v>
      </c>
      <c r="N388" t="str">
        <f>TEXT(Scaleflow[[#This Row],[Signup_Date]],"MMM")</f>
        <v>Mar</v>
      </c>
      <c r="O388" t="str">
        <f>IF(Scaleflow[[#This Row],[Monthly_Revenue]]=0,"Free","Paid")</f>
        <v>Paid</v>
      </c>
      <c r="P388">
        <f>YEAR(Scaleflow[[#This Row],[TransactionDate]])</f>
        <v>2025</v>
      </c>
      <c r="Q388">
        <f>MONTH(Scaleflow[[#This Row],[TransactionDate]])</f>
        <v>7</v>
      </c>
      <c r="R388" t="str">
        <f>TEXT(Scaleflow[[#This Row],[TransactionDate]],"MMM")</f>
        <v>Jul</v>
      </c>
    </row>
    <row r="389" spans="1:18" x14ac:dyDescent="0.3">
      <c r="A389" t="s">
        <v>423</v>
      </c>
      <c r="B389" s="1">
        <v>45527</v>
      </c>
      <c r="C389" s="1">
        <v>45621</v>
      </c>
      <c r="D389" t="s">
        <v>12</v>
      </c>
      <c r="E389" t="s">
        <v>21</v>
      </c>
      <c r="F389" t="s">
        <v>29</v>
      </c>
      <c r="G389" s="2">
        <v>16195</v>
      </c>
      <c r="H389" t="s">
        <v>22</v>
      </c>
      <c r="I389" t="s">
        <v>36</v>
      </c>
      <c r="J389">
        <v>1</v>
      </c>
      <c r="K389" t="s">
        <v>18</v>
      </c>
      <c r="L389" t="s">
        <v>17</v>
      </c>
      <c r="M389">
        <f>YEAR(Scaleflow[[#This Row],[Signup_Date]])</f>
        <v>2024</v>
      </c>
      <c r="N389" t="str">
        <f>TEXT(Scaleflow[[#This Row],[Signup_Date]],"MMM")</f>
        <v>Aug</v>
      </c>
      <c r="O389" t="str">
        <f>IF(Scaleflow[[#This Row],[Monthly_Revenue]]=0,"Free","Paid")</f>
        <v>Paid</v>
      </c>
      <c r="P389">
        <f>YEAR(Scaleflow[[#This Row],[TransactionDate]])</f>
        <v>2024</v>
      </c>
      <c r="Q389">
        <f>MONTH(Scaleflow[[#This Row],[TransactionDate]])</f>
        <v>11</v>
      </c>
      <c r="R389" t="str">
        <f>TEXT(Scaleflow[[#This Row],[TransactionDate]],"MMM")</f>
        <v>Nov</v>
      </c>
    </row>
    <row r="390" spans="1:18" x14ac:dyDescent="0.3">
      <c r="A390" t="s">
        <v>424</v>
      </c>
      <c r="B390" s="1">
        <v>45396</v>
      </c>
      <c r="C390" s="1">
        <v>46011</v>
      </c>
      <c r="D390" t="s">
        <v>12</v>
      </c>
      <c r="E390" t="s">
        <v>41</v>
      </c>
      <c r="F390" t="s">
        <v>46</v>
      </c>
      <c r="G390" s="2">
        <v>50551</v>
      </c>
      <c r="H390" t="s">
        <v>49</v>
      </c>
      <c r="I390" t="s">
        <v>42</v>
      </c>
      <c r="J390">
        <v>0</v>
      </c>
      <c r="K390" t="s">
        <v>18</v>
      </c>
      <c r="L390" t="s">
        <v>17</v>
      </c>
      <c r="M390">
        <f>YEAR(Scaleflow[[#This Row],[Signup_Date]])</f>
        <v>2024</v>
      </c>
      <c r="N390" t="str">
        <f>TEXT(Scaleflow[[#This Row],[Signup_Date]],"MMM")</f>
        <v>Apr</v>
      </c>
      <c r="O390" t="str">
        <f>IF(Scaleflow[[#This Row],[Monthly_Revenue]]=0,"Free","Paid")</f>
        <v>Paid</v>
      </c>
      <c r="P390">
        <f>YEAR(Scaleflow[[#This Row],[TransactionDate]])</f>
        <v>2025</v>
      </c>
      <c r="Q390">
        <f>MONTH(Scaleflow[[#This Row],[TransactionDate]])</f>
        <v>12</v>
      </c>
      <c r="R390" t="str">
        <f>TEXT(Scaleflow[[#This Row],[TransactionDate]],"MMM")</f>
        <v>Dec</v>
      </c>
    </row>
    <row r="391" spans="1:18" x14ac:dyDescent="0.3">
      <c r="A391" t="s">
        <v>425</v>
      </c>
      <c r="B391" s="1">
        <v>45037</v>
      </c>
      <c r="C391" s="1">
        <v>45503</v>
      </c>
      <c r="D391" t="s">
        <v>20</v>
      </c>
      <c r="E391" t="s">
        <v>25</v>
      </c>
      <c r="F391" t="s">
        <v>14</v>
      </c>
      <c r="G391" s="2">
        <v>0</v>
      </c>
      <c r="H391" t="s">
        <v>30</v>
      </c>
      <c r="I391" t="s">
        <v>42</v>
      </c>
      <c r="J391">
        <v>0</v>
      </c>
      <c r="K391" t="s">
        <v>17</v>
      </c>
      <c r="L391" t="s">
        <v>18</v>
      </c>
      <c r="M391">
        <f>YEAR(Scaleflow[[#This Row],[Signup_Date]])</f>
        <v>2023</v>
      </c>
      <c r="N391" t="str">
        <f>TEXT(Scaleflow[[#This Row],[Signup_Date]],"MMM")</f>
        <v>Apr</v>
      </c>
      <c r="O391" t="str">
        <f>IF(Scaleflow[[#This Row],[Monthly_Revenue]]=0,"Free","Paid")</f>
        <v>Free</v>
      </c>
      <c r="P391">
        <f>YEAR(Scaleflow[[#This Row],[TransactionDate]])</f>
        <v>2024</v>
      </c>
      <c r="Q391">
        <f>MONTH(Scaleflow[[#This Row],[TransactionDate]])</f>
        <v>7</v>
      </c>
      <c r="R391" t="str">
        <f>TEXT(Scaleflow[[#This Row],[TransactionDate]],"MMM")</f>
        <v>Jul</v>
      </c>
    </row>
    <row r="392" spans="1:18" x14ac:dyDescent="0.3">
      <c r="A392" t="s">
        <v>426</v>
      </c>
      <c r="B392" s="1">
        <v>45565</v>
      </c>
      <c r="C392" s="1">
        <v>45958</v>
      </c>
      <c r="D392" t="s">
        <v>24</v>
      </c>
      <c r="E392" t="s">
        <v>33</v>
      </c>
      <c r="F392" t="s">
        <v>12</v>
      </c>
      <c r="G392" s="2">
        <v>158146</v>
      </c>
      <c r="H392" t="s">
        <v>30</v>
      </c>
      <c r="I392" t="s">
        <v>42</v>
      </c>
      <c r="J392">
        <v>3</v>
      </c>
      <c r="K392" t="s">
        <v>17</v>
      </c>
      <c r="L392" t="s">
        <v>18</v>
      </c>
      <c r="M392">
        <f>YEAR(Scaleflow[[#This Row],[Signup_Date]])</f>
        <v>2024</v>
      </c>
      <c r="N392" t="str">
        <f>TEXT(Scaleflow[[#This Row],[Signup_Date]],"MMM")</f>
        <v>Sep</v>
      </c>
      <c r="O392" t="str">
        <f>IF(Scaleflow[[#This Row],[Monthly_Revenue]]=0,"Free","Paid")</f>
        <v>Paid</v>
      </c>
      <c r="P392">
        <f>YEAR(Scaleflow[[#This Row],[TransactionDate]])</f>
        <v>2025</v>
      </c>
      <c r="Q392">
        <f>MONTH(Scaleflow[[#This Row],[TransactionDate]])</f>
        <v>10</v>
      </c>
      <c r="R392" t="str">
        <f>TEXT(Scaleflow[[#This Row],[TransactionDate]],"MMM")</f>
        <v>Oct</v>
      </c>
    </row>
    <row r="393" spans="1:18" x14ac:dyDescent="0.3">
      <c r="A393" t="s">
        <v>427</v>
      </c>
      <c r="B393" s="1">
        <v>45629</v>
      </c>
      <c r="C393" s="1">
        <v>45803</v>
      </c>
      <c r="D393" t="s">
        <v>20</v>
      </c>
      <c r="E393" t="s">
        <v>39</v>
      </c>
      <c r="F393" t="s">
        <v>14</v>
      </c>
      <c r="G393" s="2">
        <v>0</v>
      </c>
      <c r="H393" t="s">
        <v>49</v>
      </c>
      <c r="I393" t="s">
        <v>16</v>
      </c>
      <c r="J393">
        <v>4</v>
      </c>
      <c r="K393" t="s">
        <v>18</v>
      </c>
      <c r="L393" t="s">
        <v>17</v>
      </c>
      <c r="M393">
        <f>YEAR(Scaleflow[[#This Row],[Signup_Date]])</f>
        <v>2024</v>
      </c>
      <c r="N393" t="str">
        <f>TEXT(Scaleflow[[#This Row],[Signup_Date]],"MMM")</f>
        <v>Dec</v>
      </c>
      <c r="O393" t="str">
        <f>IF(Scaleflow[[#This Row],[Monthly_Revenue]]=0,"Free","Paid")</f>
        <v>Free</v>
      </c>
      <c r="P393">
        <f>YEAR(Scaleflow[[#This Row],[TransactionDate]])</f>
        <v>2025</v>
      </c>
      <c r="Q393">
        <f>MONTH(Scaleflow[[#This Row],[TransactionDate]])</f>
        <v>5</v>
      </c>
      <c r="R393" t="str">
        <f>TEXT(Scaleflow[[#This Row],[TransactionDate]],"MMM")</f>
        <v>May</v>
      </c>
    </row>
    <row r="394" spans="1:18" x14ac:dyDescent="0.3">
      <c r="A394" t="s">
        <v>428</v>
      </c>
      <c r="B394" s="1">
        <v>45840</v>
      </c>
      <c r="C394" s="1">
        <v>45998</v>
      </c>
      <c r="D394" t="s">
        <v>24</v>
      </c>
      <c r="E394" t="s">
        <v>33</v>
      </c>
      <c r="F394" t="s">
        <v>14</v>
      </c>
      <c r="G394" s="2">
        <v>0</v>
      </c>
      <c r="H394" t="s">
        <v>22</v>
      </c>
      <c r="I394" t="s">
        <v>31</v>
      </c>
      <c r="J394">
        <v>5</v>
      </c>
      <c r="K394" t="s">
        <v>18</v>
      </c>
      <c r="L394" t="s">
        <v>17</v>
      </c>
      <c r="M394">
        <f>YEAR(Scaleflow[[#This Row],[Signup_Date]])</f>
        <v>2025</v>
      </c>
      <c r="N394" t="str">
        <f>TEXT(Scaleflow[[#This Row],[Signup_Date]],"MMM")</f>
        <v>Jul</v>
      </c>
      <c r="O394" t="str">
        <f>IF(Scaleflow[[#This Row],[Monthly_Revenue]]=0,"Free","Paid")</f>
        <v>Free</v>
      </c>
      <c r="P394">
        <f>YEAR(Scaleflow[[#This Row],[TransactionDate]])</f>
        <v>2025</v>
      </c>
      <c r="Q394">
        <f>MONTH(Scaleflow[[#This Row],[TransactionDate]])</f>
        <v>12</v>
      </c>
      <c r="R394" t="str">
        <f>TEXT(Scaleflow[[#This Row],[TransactionDate]],"MMM")</f>
        <v>Dec</v>
      </c>
    </row>
    <row r="395" spans="1:18" x14ac:dyDescent="0.3">
      <c r="A395" t="s">
        <v>429</v>
      </c>
      <c r="B395" s="1">
        <v>45145</v>
      </c>
      <c r="C395" s="1">
        <v>45976</v>
      </c>
      <c r="D395" t="s">
        <v>24</v>
      </c>
      <c r="E395" t="s">
        <v>41</v>
      </c>
      <c r="F395" t="s">
        <v>46</v>
      </c>
      <c r="G395" s="2">
        <v>54756</v>
      </c>
      <c r="H395" t="s">
        <v>30</v>
      </c>
      <c r="I395" t="s">
        <v>36</v>
      </c>
      <c r="J395">
        <v>4</v>
      </c>
      <c r="K395" t="s">
        <v>17</v>
      </c>
      <c r="L395" t="s">
        <v>18</v>
      </c>
      <c r="M395">
        <f>YEAR(Scaleflow[[#This Row],[Signup_Date]])</f>
        <v>2023</v>
      </c>
      <c r="N395" t="str">
        <f>TEXT(Scaleflow[[#This Row],[Signup_Date]],"MMM")</f>
        <v>Aug</v>
      </c>
      <c r="O395" t="str">
        <f>IF(Scaleflow[[#This Row],[Monthly_Revenue]]=0,"Free","Paid")</f>
        <v>Paid</v>
      </c>
      <c r="P395">
        <f>YEAR(Scaleflow[[#This Row],[TransactionDate]])</f>
        <v>2025</v>
      </c>
      <c r="Q395">
        <f>MONTH(Scaleflow[[#This Row],[TransactionDate]])</f>
        <v>11</v>
      </c>
      <c r="R395" t="str">
        <f>TEXT(Scaleflow[[#This Row],[TransactionDate]],"MMM")</f>
        <v>Nov</v>
      </c>
    </row>
    <row r="396" spans="1:18" x14ac:dyDescent="0.3">
      <c r="A396" t="s">
        <v>430</v>
      </c>
      <c r="B396" s="1">
        <v>45242</v>
      </c>
      <c r="C396" s="1">
        <v>45945</v>
      </c>
      <c r="D396" t="s">
        <v>20</v>
      </c>
      <c r="E396" t="s">
        <v>21</v>
      </c>
      <c r="F396" t="s">
        <v>12</v>
      </c>
      <c r="G396" s="2">
        <v>173833</v>
      </c>
      <c r="H396" t="s">
        <v>26</v>
      </c>
      <c r="I396" t="s">
        <v>36</v>
      </c>
      <c r="J396">
        <v>1</v>
      </c>
      <c r="K396" t="s">
        <v>18</v>
      </c>
      <c r="L396" t="s">
        <v>17</v>
      </c>
      <c r="M396">
        <f>YEAR(Scaleflow[[#This Row],[Signup_Date]])</f>
        <v>2023</v>
      </c>
      <c r="N396" t="str">
        <f>TEXT(Scaleflow[[#This Row],[Signup_Date]],"MMM")</f>
        <v>Nov</v>
      </c>
      <c r="O396" t="str">
        <f>IF(Scaleflow[[#This Row],[Monthly_Revenue]]=0,"Free","Paid")</f>
        <v>Paid</v>
      </c>
      <c r="P396">
        <f>YEAR(Scaleflow[[#This Row],[TransactionDate]])</f>
        <v>2025</v>
      </c>
      <c r="Q396">
        <f>MONTH(Scaleflow[[#This Row],[TransactionDate]])</f>
        <v>10</v>
      </c>
      <c r="R396" t="str">
        <f>TEXT(Scaleflow[[#This Row],[TransactionDate]],"MMM")</f>
        <v>Oct</v>
      </c>
    </row>
    <row r="397" spans="1:18" x14ac:dyDescent="0.3">
      <c r="A397" t="s">
        <v>431</v>
      </c>
      <c r="B397" s="1">
        <v>45504</v>
      </c>
      <c r="C397" s="1">
        <v>45626</v>
      </c>
      <c r="D397" t="s">
        <v>24</v>
      </c>
      <c r="E397" t="s">
        <v>21</v>
      </c>
      <c r="F397" t="s">
        <v>12</v>
      </c>
      <c r="G397" s="2">
        <v>143929</v>
      </c>
      <c r="H397" t="s">
        <v>15</v>
      </c>
      <c r="I397" t="s">
        <v>27</v>
      </c>
      <c r="J397">
        <v>3</v>
      </c>
      <c r="K397" t="s">
        <v>18</v>
      </c>
      <c r="L397" t="s">
        <v>17</v>
      </c>
      <c r="M397">
        <f>YEAR(Scaleflow[[#This Row],[Signup_Date]])</f>
        <v>2024</v>
      </c>
      <c r="N397" t="str">
        <f>TEXT(Scaleflow[[#This Row],[Signup_Date]],"MMM")</f>
        <v>Jul</v>
      </c>
      <c r="O397" t="str">
        <f>IF(Scaleflow[[#This Row],[Monthly_Revenue]]=0,"Free","Paid")</f>
        <v>Paid</v>
      </c>
      <c r="P397">
        <f>YEAR(Scaleflow[[#This Row],[TransactionDate]])</f>
        <v>2024</v>
      </c>
      <c r="Q397">
        <f>MONTH(Scaleflow[[#This Row],[TransactionDate]])</f>
        <v>11</v>
      </c>
      <c r="R397" t="str">
        <f>TEXT(Scaleflow[[#This Row],[TransactionDate]],"MMM")</f>
        <v>Nov</v>
      </c>
    </row>
    <row r="398" spans="1:18" x14ac:dyDescent="0.3">
      <c r="A398" t="s">
        <v>432</v>
      </c>
      <c r="B398" s="1">
        <v>45710</v>
      </c>
      <c r="C398" s="1">
        <v>45776</v>
      </c>
      <c r="D398" t="s">
        <v>20</v>
      </c>
      <c r="E398" t="s">
        <v>13</v>
      </c>
      <c r="F398" t="s">
        <v>29</v>
      </c>
      <c r="G398" s="2">
        <v>8505</v>
      </c>
      <c r="H398" t="s">
        <v>34</v>
      </c>
      <c r="I398" t="s">
        <v>42</v>
      </c>
      <c r="J398">
        <v>4</v>
      </c>
      <c r="K398" t="s">
        <v>17</v>
      </c>
      <c r="L398" t="s">
        <v>18</v>
      </c>
      <c r="M398">
        <f>YEAR(Scaleflow[[#This Row],[Signup_Date]])</f>
        <v>2025</v>
      </c>
      <c r="N398" t="str">
        <f>TEXT(Scaleflow[[#This Row],[Signup_Date]],"MMM")</f>
        <v>Feb</v>
      </c>
      <c r="O398" t="str">
        <f>IF(Scaleflow[[#This Row],[Monthly_Revenue]]=0,"Free","Paid")</f>
        <v>Paid</v>
      </c>
      <c r="P398">
        <f>YEAR(Scaleflow[[#This Row],[TransactionDate]])</f>
        <v>2025</v>
      </c>
      <c r="Q398">
        <f>MONTH(Scaleflow[[#This Row],[TransactionDate]])</f>
        <v>4</v>
      </c>
      <c r="R398" t="str">
        <f>TEXT(Scaleflow[[#This Row],[TransactionDate]],"MMM")</f>
        <v>Apr</v>
      </c>
    </row>
    <row r="399" spans="1:18" x14ac:dyDescent="0.3">
      <c r="A399" t="s">
        <v>433</v>
      </c>
      <c r="B399" s="1">
        <v>45007</v>
      </c>
      <c r="C399" s="1">
        <v>45952</v>
      </c>
      <c r="D399" t="s">
        <v>24</v>
      </c>
      <c r="E399" t="s">
        <v>13</v>
      </c>
      <c r="F399" t="s">
        <v>46</v>
      </c>
      <c r="G399" s="2">
        <v>48059</v>
      </c>
      <c r="H399" t="s">
        <v>15</v>
      </c>
      <c r="I399" t="s">
        <v>36</v>
      </c>
      <c r="J399">
        <v>4</v>
      </c>
      <c r="K399" t="s">
        <v>18</v>
      </c>
      <c r="L399" t="s">
        <v>17</v>
      </c>
      <c r="M399">
        <f>YEAR(Scaleflow[[#This Row],[Signup_Date]])</f>
        <v>2023</v>
      </c>
      <c r="N399" t="str">
        <f>TEXT(Scaleflow[[#This Row],[Signup_Date]],"MMM")</f>
        <v>Mar</v>
      </c>
      <c r="O399" t="str">
        <f>IF(Scaleflow[[#This Row],[Monthly_Revenue]]=0,"Free","Paid")</f>
        <v>Paid</v>
      </c>
      <c r="P399">
        <f>YEAR(Scaleflow[[#This Row],[TransactionDate]])</f>
        <v>2025</v>
      </c>
      <c r="Q399">
        <f>MONTH(Scaleflow[[#This Row],[TransactionDate]])</f>
        <v>10</v>
      </c>
      <c r="R399" t="str">
        <f>TEXT(Scaleflow[[#This Row],[TransactionDate]],"MMM")</f>
        <v>Oct</v>
      </c>
    </row>
    <row r="400" spans="1:18" x14ac:dyDescent="0.3">
      <c r="A400" t="s">
        <v>434</v>
      </c>
      <c r="B400" s="1">
        <v>45353</v>
      </c>
      <c r="C400" s="1">
        <v>45905</v>
      </c>
      <c r="D400" t="s">
        <v>24</v>
      </c>
      <c r="E400" t="s">
        <v>33</v>
      </c>
      <c r="F400" t="s">
        <v>46</v>
      </c>
      <c r="G400" s="2">
        <v>46946</v>
      </c>
      <c r="H400" t="s">
        <v>15</v>
      </c>
      <c r="I400" t="s">
        <v>42</v>
      </c>
      <c r="J400">
        <v>2</v>
      </c>
      <c r="K400" t="s">
        <v>17</v>
      </c>
      <c r="L400" t="s">
        <v>18</v>
      </c>
      <c r="M400">
        <f>YEAR(Scaleflow[[#This Row],[Signup_Date]])</f>
        <v>2024</v>
      </c>
      <c r="N400" t="str">
        <f>TEXT(Scaleflow[[#This Row],[Signup_Date]],"MMM")</f>
        <v>Mar</v>
      </c>
      <c r="O400" t="str">
        <f>IF(Scaleflow[[#This Row],[Monthly_Revenue]]=0,"Free","Paid")</f>
        <v>Paid</v>
      </c>
      <c r="P400">
        <f>YEAR(Scaleflow[[#This Row],[TransactionDate]])</f>
        <v>2025</v>
      </c>
      <c r="Q400">
        <f>MONTH(Scaleflow[[#This Row],[TransactionDate]])</f>
        <v>9</v>
      </c>
      <c r="R400" t="str">
        <f>TEXT(Scaleflow[[#This Row],[TransactionDate]],"MMM")</f>
        <v>Sep</v>
      </c>
    </row>
    <row r="401" spans="1:18" x14ac:dyDescent="0.3">
      <c r="A401" t="s">
        <v>435</v>
      </c>
      <c r="B401" s="1">
        <v>45112</v>
      </c>
      <c r="C401" s="1">
        <v>45131</v>
      </c>
      <c r="D401" t="s">
        <v>12</v>
      </c>
      <c r="E401" t="s">
        <v>39</v>
      </c>
      <c r="F401" t="s">
        <v>46</v>
      </c>
      <c r="G401" s="2">
        <v>38776</v>
      </c>
      <c r="H401" t="s">
        <v>22</v>
      </c>
      <c r="I401" t="s">
        <v>42</v>
      </c>
      <c r="J401">
        <v>3</v>
      </c>
      <c r="K401" t="s">
        <v>18</v>
      </c>
      <c r="L401" t="s">
        <v>17</v>
      </c>
      <c r="M401">
        <f>YEAR(Scaleflow[[#This Row],[Signup_Date]])</f>
        <v>2023</v>
      </c>
      <c r="N401" t="str">
        <f>TEXT(Scaleflow[[#This Row],[Signup_Date]],"MMM")</f>
        <v>Jul</v>
      </c>
      <c r="O401" t="str">
        <f>IF(Scaleflow[[#This Row],[Monthly_Revenue]]=0,"Free","Paid")</f>
        <v>Paid</v>
      </c>
      <c r="P401">
        <f>YEAR(Scaleflow[[#This Row],[TransactionDate]])</f>
        <v>2023</v>
      </c>
      <c r="Q401">
        <f>MONTH(Scaleflow[[#This Row],[TransactionDate]])</f>
        <v>7</v>
      </c>
      <c r="R401" t="str">
        <f>TEXT(Scaleflow[[#This Row],[TransactionDate]],"MMM")</f>
        <v>Jul</v>
      </c>
    </row>
    <row r="402" spans="1:18" x14ac:dyDescent="0.3">
      <c r="A402" t="s">
        <v>436</v>
      </c>
      <c r="B402" s="1">
        <v>45504</v>
      </c>
      <c r="C402" s="1">
        <v>45521</v>
      </c>
      <c r="D402" t="s">
        <v>20</v>
      </c>
      <c r="E402" t="s">
        <v>41</v>
      </c>
      <c r="F402" t="s">
        <v>46</v>
      </c>
      <c r="G402" s="2">
        <v>27426</v>
      </c>
      <c r="H402" t="s">
        <v>22</v>
      </c>
      <c r="I402" t="s">
        <v>16</v>
      </c>
      <c r="J402">
        <v>4</v>
      </c>
      <c r="K402" t="s">
        <v>18</v>
      </c>
      <c r="L402" t="s">
        <v>17</v>
      </c>
      <c r="M402">
        <f>YEAR(Scaleflow[[#This Row],[Signup_Date]])</f>
        <v>2024</v>
      </c>
      <c r="N402" t="str">
        <f>TEXT(Scaleflow[[#This Row],[Signup_Date]],"MMM")</f>
        <v>Jul</v>
      </c>
      <c r="O402" t="str">
        <f>IF(Scaleflow[[#This Row],[Monthly_Revenue]]=0,"Free","Paid")</f>
        <v>Paid</v>
      </c>
      <c r="P402">
        <f>YEAR(Scaleflow[[#This Row],[TransactionDate]])</f>
        <v>2024</v>
      </c>
      <c r="Q402">
        <f>MONTH(Scaleflow[[#This Row],[TransactionDate]])</f>
        <v>8</v>
      </c>
      <c r="R402" t="str">
        <f>TEXT(Scaleflow[[#This Row],[TransactionDate]],"MMM")</f>
        <v>Aug</v>
      </c>
    </row>
    <row r="403" spans="1:18" x14ac:dyDescent="0.3">
      <c r="A403" t="s">
        <v>437</v>
      </c>
      <c r="B403" s="1">
        <v>45162</v>
      </c>
      <c r="C403" s="1">
        <v>45293</v>
      </c>
      <c r="D403" t="s">
        <v>24</v>
      </c>
      <c r="E403" t="s">
        <v>13</v>
      </c>
      <c r="F403" t="s">
        <v>12</v>
      </c>
      <c r="G403" s="2">
        <v>160387</v>
      </c>
      <c r="H403" t="s">
        <v>15</v>
      </c>
      <c r="I403" t="s">
        <v>42</v>
      </c>
      <c r="J403">
        <v>4</v>
      </c>
      <c r="K403" t="s">
        <v>18</v>
      </c>
      <c r="L403" t="s">
        <v>17</v>
      </c>
      <c r="M403">
        <f>YEAR(Scaleflow[[#This Row],[Signup_Date]])</f>
        <v>2023</v>
      </c>
      <c r="N403" t="str">
        <f>TEXT(Scaleflow[[#This Row],[Signup_Date]],"MMM")</f>
        <v>Aug</v>
      </c>
      <c r="O403" t="str">
        <f>IF(Scaleflow[[#This Row],[Monthly_Revenue]]=0,"Free","Paid")</f>
        <v>Paid</v>
      </c>
      <c r="P403">
        <f>YEAR(Scaleflow[[#This Row],[TransactionDate]])</f>
        <v>2024</v>
      </c>
      <c r="Q403">
        <f>MONTH(Scaleflow[[#This Row],[TransactionDate]])</f>
        <v>1</v>
      </c>
      <c r="R403" t="str">
        <f>TEXT(Scaleflow[[#This Row],[TransactionDate]],"MMM")</f>
        <v>Jan</v>
      </c>
    </row>
    <row r="404" spans="1:18" x14ac:dyDescent="0.3">
      <c r="A404" t="s">
        <v>438</v>
      </c>
      <c r="B404" s="1">
        <v>45877</v>
      </c>
      <c r="C404" s="1">
        <v>46019</v>
      </c>
      <c r="D404" t="s">
        <v>20</v>
      </c>
      <c r="E404" t="s">
        <v>33</v>
      </c>
      <c r="F404" t="s">
        <v>46</v>
      </c>
      <c r="G404" s="2">
        <v>35846</v>
      </c>
      <c r="H404" t="s">
        <v>15</v>
      </c>
      <c r="I404" t="s">
        <v>16</v>
      </c>
      <c r="J404">
        <v>3</v>
      </c>
      <c r="K404" t="s">
        <v>17</v>
      </c>
      <c r="L404" t="s">
        <v>18</v>
      </c>
      <c r="M404">
        <f>YEAR(Scaleflow[[#This Row],[Signup_Date]])</f>
        <v>2025</v>
      </c>
      <c r="N404" t="str">
        <f>TEXT(Scaleflow[[#This Row],[Signup_Date]],"MMM")</f>
        <v>Aug</v>
      </c>
      <c r="O404" t="str">
        <f>IF(Scaleflow[[#This Row],[Monthly_Revenue]]=0,"Free","Paid")</f>
        <v>Paid</v>
      </c>
      <c r="P404">
        <f>YEAR(Scaleflow[[#This Row],[TransactionDate]])</f>
        <v>2025</v>
      </c>
      <c r="Q404">
        <f>MONTH(Scaleflow[[#This Row],[TransactionDate]])</f>
        <v>12</v>
      </c>
      <c r="R404" t="str">
        <f>TEXT(Scaleflow[[#This Row],[TransactionDate]],"MMM")</f>
        <v>Dec</v>
      </c>
    </row>
    <row r="405" spans="1:18" x14ac:dyDescent="0.3">
      <c r="A405" t="s">
        <v>439</v>
      </c>
      <c r="B405" s="1">
        <v>45822</v>
      </c>
      <c r="C405" s="1">
        <v>45866</v>
      </c>
      <c r="D405" t="s">
        <v>12</v>
      </c>
      <c r="E405" t="s">
        <v>41</v>
      </c>
      <c r="F405" t="s">
        <v>12</v>
      </c>
      <c r="G405" s="2">
        <v>206454</v>
      </c>
      <c r="H405" t="s">
        <v>34</v>
      </c>
      <c r="I405" t="s">
        <v>42</v>
      </c>
      <c r="J405">
        <v>3</v>
      </c>
      <c r="K405" t="s">
        <v>18</v>
      </c>
      <c r="L405" t="s">
        <v>17</v>
      </c>
      <c r="M405">
        <f>YEAR(Scaleflow[[#This Row],[Signup_Date]])</f>
        <v>2025</v>
      </c>
      <c r="N405" t="str">
        <f>TEXT(Scaleflow[[#This Row],[Signup_Date]],"MMM")</f>
        <v>Jun</v>
      </c>
      <c r="O405" t="str">
        <f>IF(Scaleflow[[#This Row],[Monthly_Revenue]]=0,"Free","Paid")</f>
        <v>Paid</v>
      </c>
      <c r="P405">
        <f>YEAR(Scaleflow[[#This Row],[TransactionDate]])</f>
        <v>2025</v>
      </c>
      <c r="Q405">
        <f>MONTH(Scaleflow[[#This Row],[TransactionDate]])</f>
        <v>7</v>
      </c>
      <c r="R405" t="str">
        <f>TEXT(Scaleflow[[#This Row],[TransactionDate]],"MMM")</f>
        <v>Jul</v>
      </c>
    </row>
    <row r="406" spans="1:18" x14ac:dyDescent="0.3">
      <c r="A406" t="s">
        <v>440</v>
      </c>
      <c r="B406" s="1">
        <v>45510</v>
      </c>
      <c r="C406" s="1">
        <v>45730</v>
      </c>
      <c r="D406" t="s">
        <v>24</v>
      </c>
      <c r="E406" t="s">
        <v>41</v>
      </c>
      <c r="F406" t="s">
        <v>29</v>
      </c>
      <c r="G406" s="2">
        <v>16056</v>
      </c>
      <c r="H406" t="s">
        <v>34</v>
      </c>
      <c r="I406" t="s">
        <v>42</v>
      </c>
      <c r="J406">
        <v>2</v>
      </c>
      <c r="K406" t="s">
        <v>18</v>
      </c>
      <c r="L406" t="s">
        <v>17</v>
      </c>
      <c r="M406">
        <f>YEAR(Scaleflow[[#This Row],[Signup_Date]])</f>
        <v>2024</v>
      </c>
      <c r="N406" t="str">
        <f>TEXT(Scaleflow[[#This Row],[Signup_Date]],"MMM")</f>
        <v>Aug</v>
      </c>
      <c r="O406" t="str">
        <f>IF(Scaleflow[[#This Row],[Monthly_Revenue]]=0,"Free","Paid")</f>
        <v>Paid</v>
      </c>
      <c r="P406">
        <f>YEAR(Scaleflow[[#This Row],[TransactionDate]])</f>
        <v>2025</v>
      </c>
      <c r="Q406">
        <f>MONTH(Scaleflow[[#This Row],[TransactionDate]])</f>
        <v>3</v>
      </c>
      <c r="R406" t="str">
        <f>TEXT(Scaleflow[[#This Row],[TransactionDate]],"MMM")</f>
        <v>Mar</v>
      </c>
    </row>
    <row r="407" spans="1:18" x14ac:dyDescent="0.3">
      <c r="A407" t="s">
        <v>441</v>
      </c>
      <c r="B407" s="1">
        <v>45442</v>
      </c>
      <c r="C407" s="1">
        <v>45917</v>
      </c>
      <c r="D407" t="s">
        <v>12</v>
      </c>
      <c r="E407" t="s">
        <v>25</v>
      </c>
      <c r="F407" t="s">
        <v>14</v>
      </c>
      <c r="G407" s="2">
        <v>0</v>
      </c>
      <c r="H407" t="s">
        <v>22</v>
      </c>
      <c r="I407" t="s">
        <v>16</v>
      </c>
      <c r="J407">
        <v>5</v>
      </c>
      <c r="K407" t="s">
        <v>18</v>
      </c>
      <c r="L407" t="s">
        <v>17</v>
      </c>
      <c r="M407">
        <f>YEAR(Scaleflow[[#This Row],[Signup_Date]])</f>
        <v>2024</v>
      </c>
      <c r="N407" t="str">
        <f>TEXT(Scaleflow[[#This Row],[Signup_Date]],"MMM")</f>
        <v>May</v>
      </c>
      <c r="O407" t="str">
        <f>IF(Scaleflow[[#This Row],[Monthly_Revenue]]=0,"Free","Paid")</f>
        <v>Free</v>
      </c>
      <c r="P407">
        <f>YEAR(Scaleflow[[#This Row],[TransactionDate]])</f>
        <v>2025</v>
      </c>
      <c r="Q407">
        <f>MONTH(Scaleflow[[#This Row],[TransactionDate]])</f>
        <v>9</v>
      </c>
      <c r="R407" t="str">
        <f>TEXT(Scaleflow[[#This Row],[TransactionDate]],"MMM")</f>
        <v>Sep</v>
      </c>
    </row>
    <row r="408" spans="1:18" x14ac:dyDescent="0.3">
      <c r="A408" t="s">
        <v>442</v>
      </c>
      <c r="B408" s="1">
        <v>45893</v>
      </c>
      <c r="C408" s="1">
        <v>45928</v>
      </c>
      <c r="D408" t="s">
        <v>12</v>
      </c>
      <c r="E408" t="s">
        <v>13</v>
      </c>
      <c r="F408" t="s">
        <v>14</v>
      </c>
      <c r="G408" s="2">
        <v>0</v>
      </c>
      <c r="H408" t="s">
        <v>22</v>
      </c>
      <c r="I408" t="s">
        <v>36</v>
      </c>
      <c r="J408">
        <v>3</v>
      </c>
      <c r="K408" t="s">
        <v>18</v>
      </c>
      <c r="L408" t="s">
        <v>17</v>
      </c>
      <c r="M408">
        <f>YEAR(Scaleflow[[#This Row],[Signup_Date]])</f>
        <v>2025</v>
      </c>
      <c r="N408" t="str">
        <f>TEXT(Scaleflow[[#This Row],[Signup_Date]],"MMM")</f>
        <v>Aug</v>
      </c>
      <c r="O408" t="str">
        <f>IF(Scaleflow[[#This Row],[Monthly_Revenue]]=0,"Free","Paid")</f>
        <v>Free</v>
      </c>
      <c r="P408">
        <f>YEAR(Scaleflow[[#This Row],[TransactionDate]])</f>
        <v>2025</v>
      </c>
      <c r="Q408">
        <f>MONTH(Scaleflow[[#This Row],[TransactionDate]])</f>
        <v>9</v>
      </c>
      <c r="R408" t="str">
        <f>TEXT(Scaleflow[[#This Row],[TransactionDate]],"MMM")</f>
        <v>Sep</v>
      </c>
    </row>
    <row r="409" spans="1:18" x14ac:dyDescent="0.3">
      <c r="A409" t="s">
        <v>443</v>
      </c>
      <c r="B409" s="1">
        <v>45351</v>
      </c>
      <c r="C409" s="1">
        <v>45978</v>
      </c>
      <c r="D409" t="s">
        <v>12</v>
      </c>
      <c r="E409" t="s">
        <v>41</v>
      </c>
      <c r="F409" t="s">
        <v>14</v>
      </c>
      <c r="G409" s="2">
        <v>0</v>
      </c>
      <c r="H409" t="s">
        <v>15</v>
      </c>
      <c r="I409" t="s">
        <v>27</v>
      </c>
      <c r="J409">
        <v>0</v>
      </c>
      <c r="K409" t="s">
        <v>17</v>
      </c>
      <c r="L409" t="s">
        <v>18</v>
      </c>
      <c r="M409">
        <f>YEAR(Scaleflow[[#This Row],[Signup_Date]])</f>
        <v>2024</v>
      </c>
      <c r="N409" t="str">
        <f>TEXT(Scaleflow[[#This Row],[Signup_Date]],"MMM")</f>
        <v>Feb</v>
      </c>
      <c r="O409" t="str">
        <f>IF(Scaleflow[[#This Row],[Monthly_Revenue]]=0,"Free","Paid")</f>
        <v>Free</v>
      </c>
      <c r="P409">
        <f>YEAR(Scaleflow[[#This Row],[TransactionDate]])</f>
        <v>2025</v>
      </c>
      <c r="Q409">
        <f>MONTH(Scaleflow[[#This Row],[TransactionDate]])</f>
        <v>11</v>
      </c>
      <c r="R409" t="str">
        <f>TEXT(Scaleflow[[#This Row],[TransactionDate]],"MMM")</f>
        <v>Nov</v>
      </c>
    </row>
    <row r="410" spans="1:18" x14ac:dyDescent="0.3">
      <c r="A410" t="s">
        <v>444</v>
      </c>
      <c r="B410" s="1">
        <v>45259</v>
      </c>
      <c r="C410" s="1">
        <v>45590</v>
      </c>
      <c r="D410" t="s">
        <v>20</v>
      </c>
      <c r="E410" t="s">
        <v>33</v>
      </c>
      <c r="F410" t="s">
        <v>46</v>
      </c>
      <c r="G410" s="2">
        <v>29073</v>
      </c>
      <c r="H410" t="s">
        <v>15</v>
      </c>
      <c r="I410" t="s">
        <v>31</v>
      </c>
      <c r="J410">
        <v>0</v>
      </c>
      <c r="K410" t="s">
        <v>18</v>
      </c>
      <c r="L410" t="s">
        <v>17</v>
      </c>
      <c r="M410">
        <f>YEAR(Scaleflow[[#This Row],[Signup_Date]])</f>
        <v>2023</v>
      </c>
      <c r="N410" t="str">
        <f>TEXT(Scaleflow[[#This Row],[Signup_Date]],"MMM")</f>
        <v>Nov</v>
      </c>
      <c r="O410" t="str">
        <f>IF(Scaleflow[[#This Row],[Monthly_Revenue]]=0,"Free","Paid")</f>
        <v>Paid</v>
      </c>
      <c r="P410">
        <f>YEAR(Scaleflow[[#This Row],[TransactionDate]])</f>
        <v>2024</v>
      </c>
      <c r="Q410">
        <f>MONTH(Scaleflow[[#This Row],[TransactionDate]])</f>
        <v>10</v>
      </c>
      <c r="R410" t="str">
        <f>TEXT(Scaleflow[[#This Row],[TransactionDate]],"MMM")</f>
        <v>Oct</v>
      </c>
    </row>
    <row r="411" spans="1:18" x14ac:dyDescent="0.3">
      <c r="A411" t="s">
        <v>445</v>
      </c>
      <c r="B411" s="1">
        <v>45385</v>
      </c>
      <c r="C411" s="1">
        <v>45541</v>
      </c>
      <c r="D411" t="s">
        <v>20</v>
      </c>
      <c r="E411" t="s">
        <v>21</v>
      </c>
      <c r="F411" t="s">
        <v>29</v>
      </c>
      <c r="G411" s="2">
        <v>14535</v>
      </c>
      <c r="H411" t="s">
        <v>49</v>
      </c>
      <c r="I411" t="s">
        <v>31</v>
      </c>
      <c r="J411">
        <v>2</v>
      </c>
      <c r="K411" t="s">
        <v>18</v>
      </c>
      <c r="L411" t="s">
        <v>17</v>
      </c>
      <c r="M411">
        <f>YEAR(Scaleflow[[#This Row],[Signup_Date]])</f>
        <v>2024</v>
      </c>
      <c r="N411" t="str">
        <f>TEXT(Scaleflow[[#This Row],[Signup_Date]],"MMM")</f>
        <v>Apr</v>
      </c>
      <c r="O411" t="str">
        <f>IF(Scaleflow[[#This Row],[Monthly_Revenue]]=0,"Free","Paid")</f>
        <v>Paid</v>
      </c>
      <c r="P411">
        <f>YEAR(Scaleflow[[#This Row],[TransactionDate]])</f>
        <v>2024</v>
      </c>
      <c r="Q411">
        <f>MONTH(Scaleflow[[#This Row],[TransactionDate]])</f>
        <v>9</v>
      </c>
      <c r="R411" t="str">
        <f>TEXT(Scaleflow[[#This Row],[TransactionDate]],"MMM")</f>
        <v>Sep</v>
      </c>
    </row>
    <row r="412" spans="1:18" x14ac:dyDescent="0.3">
      <c r="A412" t="s">
        <v>446</v>
      </c>
      <c r="B412" s="1">
        <v>45452</v>
      </c>
      <c r="C412" s="1">
        <v>46014</v>
      </c>
      <c r="D412" t="s">
        <v>12</v>
      </c>
      <c r="E412" t="s">
        <v>13</v>
      </c>
      <c r="F412" t="s">
        <v>46</v>
      </c>
      <c r="G412" s="2">
        <v>38030</v>
      </c>
      <c r="H412" t="s">
        <v>34</v>
      </c>
      <c r="I412" t="s">
        <v>42</v>
      </c>
      <c r="J412">
        <v>3</v>
      </c>
      <c r="K412" t="s">
        <v>18</v>
      </c>
      <c r="L412" t="s">
        <v>17</v>
      </c>
      <c r="M412">
        <f>YEAR(Scaleflow[[#This Row],[Signup_Date]])</f>
        <v>2024</v>
      </c>
      <c r="N412" t="str">
        <f>TEXT(Scaleflow[[#This Row],[Signup_Date]],"MMM")</f>
        <v>Jun</v>
      </c>
      <c r="O412" t="str">
        <f>IF(Scaleflow[[#This Row],[Monthly_Revenue]]=0,"Free","Paid")</f>
        <v>Paid</v>
      </c>
      <c r="P412">
        <f>YEAR(Scaleflow[[#This Row],[TransactionDate]])</f>
        <v>2025</v>
      </c>
      <c r="Q412">
        <f>MONTH(Scaleflow[[#This Row],[TransactionDate]])</f>
        <v>12</v>
      </c>
      <c r="R412" t="str">
        <f>TEXT(Scaleflow[[#This Row],[TransactionDate]],"MMM")</f>
        <v>Dec</v>
      </c>
    </row>
    <row r="413" spans="1:18" x14ac:dyDescent="0.3">
      <c r="A413" t="s">
        <v>447</v>
      </c>
      <c r="B413" s="1">
        <v>45357</v>
      </c>
      <c r="C413" s="1">
        <v>45835</v>
      </c>
      <c r="D413" t="s">
        <v>24</v>
      </c>
      <c r="E413" t="s">
        <v>33</v>
      </c>
      <c r="F413" t="s">
        <v>29</v>
      </c>
      <c r="G413" s="2">
        <v>7946</v>
      </c>
      <c r="H413" t="s">
        <v>22</v>
      </c>
      <c r="I413" t="s">
        <v>27</v>
      </c>
      <c r="J413">
        <v>1</v>
      </c>
      <c r="K413" t="s">
        <v>18</v>
      </c>
      <c r="L413" t="s">
        <v>17</v>
      </c>
      <c r="M413">
        <f>YEAR(Scaleflow[[#This Row],[Signup_Date]])</f>
        <v>2024</v>
      </c>
      <c r="N413" t="str">
        <f>TEXT(Scaleflow[[#This Row],[Signup_Date]],"MMM")</f>
        <v>Mar</v>
      </c>
      <c r="O413" t="str">
        <f>IF(Scaleflow[[#This Row],[Monthly_Revenue]]=0,"Free","Paid")</f>
        <v>Paid</v>
      </c>
      <c r="P413">
        <f>YEAR(Scaleflow[[#This Row],[TransactionDate]])</f>
        <v>2025</v>
      </c>
      <c r="Q413">
        <f>MONTH(Scaleflow[[#This Row],[TransactionDate]])</f>
        <v>6</v>
      </c>
      <c r="R413" t="str">
        <f>TEXT(Scaleflow[[#This Row],[TransactionDate]],"MMM")</f>
        <v>Jun</v>
      </c>
    </row>
    <row r="414" spans="1:18" x14ac:dyDescent="0.3">
      <c r="A414" t="s">
        <v>448</v>
      </c>
      <c r="B414" s="1">
        <v>45405</v>
      </c>
      <c r="C414" s="1">
        <v>45590</v>
      </c>
      <c r="D414" t="s">
        <v>24</v>
      </c>
      <c r="E414" t="s">
        <v>25</v>
      </c>
      <c r="F414" t="s">
        <v>46</v>
      </c>
      <c r="G414" s="2">
        <v>53524</v>
      </c>
      <c r="H414" t="s">
        <v>30</v>
      </c>
      <c r="I414" t="s">
        <v>42</v>
      </c>
      <c r="J414">
        <v>3</v>
      </c>
      <c r="K414" t="s">
        <v>18</v>
      </c>
      <c r="L414" t="s">
        <v>17</v>
      </c>
      <c r="M414">
        <f>YEAR(Scaleflow[[#This Row],[Signup_Date]])</f>
        <v>2024</v>
      </c>
      <c r="N414" t="str">
        <f>TEXT(Scaleflow[[#This Row],[Signup_Date]],"MMM")</f>
        <v>Apr</v>
      </c>
      <c r="O414" t="str">
        <f>IF(Scaleflow[[#This Row],[Monthly_Revenue]]=0,"Free","Paid")</f>
        <v>Paid</v>
      </c>
      <c r="P414">
        <f>YEAR(Scaleflow[[#This Row],[TransactionDate]])</f>
        <v>2024</v>
      </c>
      <c r="Q414">
        <f>MONTH(Scaleflow[[#This Row],[TransactionDate]])</f>
        <v>10</v>
      </c>
      <c r="R414" t="str">
        <f>TEXT(Scaleflow[[#This Row],[TransactionDate]],"MMM")</f>
        <v>Oct</v>
      </c>
    </row>
    <row r="415" spans="1:18" x14ac:dyDescent="0.3">
      <c r="A415" t="s">
        <v>449</v>
      </c>
      <c r="B415" s="1">
        <v>45141</v>
      </c>
      <c r="C415" s="1">
        <v>45940</v>
      </c>
      <c r="D415" t="s">
        <v>24</v>
      </c>
      <c r="E415" t="s">
        <v>21</v>
      </c>
      <c r="F415" t="s">
        <v>46</v>
      </c>
      <c r="G415" s="2">
        <v>40270</v>
      </c>
      <c r="H415" t="s">
        <v>15</v>
      </c>
      <c r="I415" t="s">
        <v>27</v>
      </c>
      <c r="J415">
        <v>3</v>
      </c>
      <c r="K415" t="s">
        <v>18</v>
      </c>
      <c r="L415" t="s">
        <v>17</v>
      </c>
      <c r="M415">
        <f>YEAR(Scaleflow[[#This Row],[Signup_Date]])</f>
        <v>2023</v>
      </c>
      <c r="N415" t="str">
        <f>TEXT(Scaleflow[[#This Row],[Signup_Date]],"MMM")</f>
        <v>Aug</v>
      </c>
      <c r="O415" t="str">
        <f>IF(Scaleflow[[#This Row],[Monthly_Revenue]]=0,"Free","Paid")</f>
        <v>Paid</v>
      </c>
      <c r="P415">
        <f>YEAR(Scaleflow[[#This Row],[TransactionDate]])</f>
        <v>2025</v>
      </c>
      <c r="Q415">
        <f>MONTH(Scaleflow[[#This Row],[TransactionDate]])</f>
        <v>10</v>
      </c>
      <c r="R415" t="str">
        <f>TEXT(Scaleflow[[#This Row],[TransactionDate]],"MMM")</f>
        <v>Oct</v>
      </c>
    </row>
    <row r="416" spans="1:18" x14ac:dyDescent="0.3">
      <c r="A416" t="s">
        <v>450</v>
      </c>
      <c r="B416" s="1">
        <v>45445</v>
      </c>
      <c r="C416" s="1">
        <v>45692</v>
      </c>
      <c r="D416" t="s">
        <v>20</v>
      </c>
      <c r="E416" t="s">
        <v>13</v>
      </c>
      <c r="F416" t="s">
        <v>46</v>
      </c>
      <c r="G416" s="2">
        <v>56122</v>
      </c>
      <c r="H416" t="s">
        <v>15</v>
      </c>
      <c r="I416" t="s">
        <v>36</v>
      </c>
      <c r="J416">
        <v>2</v>
      </c>
      <c r="K416" t="s">
        <v>18</v>
      </c>
      <c r="L416" t="s">
        <v>17</v>
      </c>
      <c r="M416">
        <f>YEAR(Scaleflow[[#This Row],[Signup_Date]])</f>
        <v>2024</v>
      </c>
      <c r="N416" t="str">
        <f>TEXT(Scaleflow[[#This Row],[Signup_Date]],"MMM")</f>
        <v>Jun</v>
      </c>
      <c r="O416" t="str">
        <f>IF(Scaleflow[[#This Row],[Monthly_Revenue]]=0,"Free","Paid")</f>
        <v>Paid</v>
      </c>
      <c r="P416">
        <f>YEAR(Scaleflow[[#This Row],[TransactionDate]])</f>
        <v>2025</v>
      </c>
      <c r="Q416">
        <f>MONTH(Scaleflow[[#This Row],[TransactionDate]])</f>
        <v>2</v>
      </c>
      <c r="R416" t="str">
        <f>TEXT(Scaleflow[[#This Row],[TransactionDate]],"MMM")</f>
        <v>Feb</v>
      </c>
    </row>
    <row r="417" spans="1:18" x14ac:dyDescent="0.3">
      <c r="A417" t="s">
        <v>451</v>
      </c>
      <c r="B417" s="1">
        <v>45202</v>
      </c>
      <c r="C417" s="1">
        <v>45297</v>
      </c>
      <c r="D417" t="s">
        <v>24</v>
      </c>
      <c r="E417" t="s">
        <v>13</v>
      </c>
      <c r="F417" t="s">
        <v>29</v>
      </c>
      <c r="G417" s="2">
        <v>16283</v>
      </c>
      <c r="H417" t="s">
        <v>30</v>
      </c>
      <c r="I417" t="s">
        <v>31</v>
      </c>
      <c r="J417">
        <v>4</v>
      </c>
      <c r="K417" t="s">
        <v>17</v>
      </c>
      <c r="L417" t="s">
        <v>18</v>
      </c>
      <c r="M417">
        <f>YEAR(Scaleflow[[#This Row],[Signup_Date]])</f>
        <v>2023</v>
      </c>
      <c r="N417" t="str">
        <f>TEXT(Scaleflow[[#This Row],[Signup_Date]],"MMM")</f>
        <v>Oct</v>
      </c>
      <c r="O417" t="str">
        <f>IF(Scaleflow[[#This Row],[Monthly_Revenue]]=0,"Free","Paid")</f>
        <v>Paid</v>
      </c>
      <c r="P417">
        <f>YEAR(Scaleflow[[#This Row],[TransactionDate]])</f>
        <v>2024</v>
      </c>
      <c r="Q417">
        <f>MONTH(Scaleflow[[#This Row],[TransactionDate]])</f>
        <v>1</v>
      </c>
      <c r="R417" t="str">
        <f>TEXT(Scaleflow[[#This Row],[TransactionDate]],"MMM")</f>
        <v>Jan</v>
      </c>
    </row>
    <row r="418" spans="1:18" x14ac:dyDescent="0.3">
      <c r="A418" t="s">
        <v>452</v>
      </c>
      <c r="B418" s="1">
        <v>45220</v>
      </c>
      <c r="C418" s="1">
        <v>45436</v>
      </c>
      <c r="D418" t="s">
        <v>20</v>
      </c>
      <c r="E418" t="s">
        <v>33</v>
      </c>
      <c r="F418" t="s">
        <v>14</v>
      </c>
      <c r="G418" s="2">
        <v>0</v>
      </c>
      <c r="H418" t="s">
        <v>15</v>
      </c>
      <c r="I418" t="s">
        <v>42</v>
      </c>
      <c r="J418">
        <v>1</v>
      </c>
      <c r="K418" t="s">
        <v>18</v>
      </c>
      <c r="L418" t="s">
        <v>17</v>
      </c>
      <c r="M418">
        <f>YEAR(Scaleflow[[#This Row],[Signup_Date]])</f>
        <v>2023</v>
      </c>
      <c r="N418" t="str">
        <f>TEXT(Scaleflow[[#This Row],[Signup_Date]],"MMM")</f>
        <v>Oct</v>
      </c>
      <c r="O418" t="str">
        <f>IF(Scaleflow[[#This Row],[Monthly_Revenue]]=0,"Free","Paid")</f>
        <v>Free</v>
      </c>
      <c r="P418">
        <f>YEAR(Scaleflow[[#This Row],[TransactionDate]])</f>
        <v>2024</v>
      </c>
      <c r="Q418">
        <f>MONTH(Scaleflow[[#This Row],[TransactionDate]])</f>
        <v>5</v>
      </c>
      <c r="R418" t="str">
        <f>TEXT(Scaleflow[[#This Row],[TransactionDate]],"MMM")</f>
        <v>May</v>
      </c>
    </row>
    <row r="419" spans="1:18" x14ac:dyDescent="0.3">
      <c r="A419" t="s">
        <v>453</v>
      </c>
      <c r="B419" s="1">
        <v>45838</v>
      </c>
      <c r="C419" s="1">
        <v>45864</v>
      </c>
      <c r="D419" t="s">
        <v>20</v>
      </c>
      <c r="E419" t="s">
        <v>21</v>
      </c>
      <c r="F419" t="s">
        <v>46</v>
      </c>
      <c r="G419" s="2">
        <v>57092</v>
      </c>
      <c r="H419" t="s">
        <v>26</v>
      </c>
      <c r="I419" t="s">
        <v>27</v>
      </c>
      <c r="J419">
        <v>2</v>
      </c>
      <c r="K419" t="s">
        <v>18</v>
      </c>
      <c r="L419" t="s">
        <v>17</v>
      </c>
      <c r="M419">
        <f>YEAR(Scaleflow[[#This Row],[Signup_Date]])</f>
        <v>2025</v>
      </c>
      <c r="N419" t="str">
        <f>TEXT(Scaleflow[[#This Row],[Signup_Date]],"MMM")</f>
        <v>Jun</v>
      </c>
      <c r="O419" t="str">
        <f>IF(Scaleflow[[#This Row],[Monthly_Revenue]]=0,"Free","Paid")</f>
        <v>Paid</v>
      </c>
      <c r="P419">
        <f>YEAR(Scaleflow[[#This Row],[TransactionDate]])</f>
        <v>2025</v>
      </c>
      <c r="Q419">
        <f>MONTH(Scaleflow[[#This Row],[TransactionDate]])</f>
        <v>7</v>
      </c>
      <c r="R419" t="str">
        <f>TEXT(Scaleflow[[#This Row],[TransactionDate]],"MMM")</f>
        <v>Jul</v>
      </c>
    </row>
    <row r="420" spans="1:18" x14ac:dyDescent="0.3">
      <c r="A420" t="s">
        <v>454</v>
      </c>
      <c r="B420" s="1">
        <v>45364</v>
      </c>
      <c r="C420" s="1">
        <v>45587</v>
      </c>
      <c r="D420" t="s">
        <v>12</v>
      </c>
      <c r="E420" t="s">
        <v>21</v>
      </c>
      <c r="F420" t="s">
        <v>29</v>
      </c>
      <c r="G420" s="2">
        <v>7785</v>
      </c>
      <c r="H420" t="s">
        <v>49</v>
      </c>
      <c r="I420" t="s">
        <v>27</v>
      </c>
      <c r="J420">
        <v>3</v>
      </c>
      <c r="K420" t="s">
        <v>18</v>
      </c>
      <c r="L420" t="s">
        <v>17</v>
      </c>
      <c r="M420">
        <f>YEAR(Scaleflow[[#This Row],[Signup_Date]])</f>
        <v>2024</v>
      </c>
      <c r="N420" t="str">
        <f>TEXT(Scaleflow[[#This Row],[Signup_Date]],"MMM")</f>
        <v>Mar</v>
      </c>
      <c r="O420" t="str">
        <f>IF(Scaleflow[[#This Row],[Monthly_Revenue]]=0,"Free","Paid")</f>
        <v>Paid</v>
      </c>
      <c r="P420">
        <f>YEAR(Scaleflow[[#This Row],[TransactionDate]])</f>
        <v>2024</v>
      </c>
      <c r="Q420">
        <f>MONTH(Scaleflow[[#This Row],[TransactionDate]])</f>
        <v>10</v>
      </c>
      <c r="R420" t="str">
        <f>TEXT(Scaleflow[[#This Row],[TransactionDate]],"MMM")</f>
        <v>Oct</v>
      </c>
    </row>
    <row r="421" spans="1:18" x14ac:dyDescent="0.3">
      <c r="A421" t="s">
        <v>455</v>
      </c>
      <c r="B421" s="1">
        <v>45891</v>
      </c>
      <c r="C421" s="1">
        <v>45892</v>
      </c>
      <c r="D421" t="s">
        <v>12</v>
      </c>
      <c r="E421" t="s">
        <v>33</v>
      </c>
      <c r="F421" t="s">
        <v>46</v>
      </c>
      <c r="G421" s="2">
        <v>46251</v>
      </c>
      <c r="H421" t="s">
        <v>34</v>
      </c>
      <c r="I421" t="s">
        <v>36</v>
      </c>
      <c r="J421">
        <v>2</v>
      </c>
      <c r="K421" t="s">
        <v>18</v>
      </c>
      <c r="L421" t="s">
        <v>17</v>
      </c>
      <c r="M421">
        <f>YEAR(Scaleflow[[#This Row],[Signup_Date]])</f>
        <v>2025</v>
      </c>
      <c r="N421" t="str">
        <f>TEXT(Scaleflow[[#This Row],[Signup_Date]],"MMM")</f>
        <v>Aug</v>
      </c>
      <c r="O421" t="str">
        <f>IF(Scaleflow[[#This Row],[Monthly_Revenue]]=0,"Free","Paid")</f>
        <v>Paid</v>
      </c>
      <c r="P421">
        <f>YEAR(Scaleflow[[#This Row],[TransactionDate]])</f>
        <v>2025</v>
      </c>
      <c r="Q421">
        <f>MONTH(Scaleflow[[#This Row],[TransactionDate]])</f>
        <v>8</v>
      </c>
      <c r="R421" t="str">
        <f>TEXT(Scaleflow[[#This Row],[TransactionDate]],"MMM")</f>
        <v>Aug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Cleaned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Ibeachu Judy</dc:creator>
  <cp:lastModifiedBy>user</cp:lastModifiedBy>
  <dcterms:created xsi:type="dcterms:W3CDTF">2026-01-09T05:09:59Z</dcterms:created>
  <dcterms:modified xsi:type="dcterms:W3CDTF">2026-03-11T06:53:30Z</dcterms:modified>
</cp:coreProperties>
</file>